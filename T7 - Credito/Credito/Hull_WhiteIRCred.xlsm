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Crédito\Juan Esteban Palomar\"/>
    </mc:Choice>
  </mc:AlternateContent>
  <xr:revisionPtr revIDLastSave="0" documentId="13_ncr:1_{232EFEC7-FB10-4061-A7A1-D8FE8F3E8A74}" xr6:coauthVersionLast="36" xr6:coauthVersionMax="36" xr10:uidLastSave="{00000000-0000-0000-0000-000000000000}"/>
  <bookViews>
    <workbookView xWindow="0" yWindow="0" windowWidth="19200" windowHeight="8025" xr2:uid="{00000000-000D-0000-FFFF-FFFF00000000}"/>
  </bookViews>
  <sheets>
    <sheet name="IR-Cred" sheetId="13" r:id="rId1"/>
  </sheets>
  <functionGroups builtInGroupCount="19"/>
  <definedNames>
    <definedName name="CDSDAtes" localSheetId="0">'IR-Cred'!$B$16:$B$44</definedName>
    <definedName name="CDSDAtes">#REF!</definedName>
    <definedName name="Coupon" localSheetId="0">'IR-Cred'!$D$16</definedName>
    <definedName name="Coupon">#REF!</definedName>
    <definedName name="CreditParams" localSheetId="0">'IR-Cred'!$F$3:$F$7</definedName>
    <definedName name="CreditParams">#REF!</definedName>
    <definedName name="HW" localSheetId="0">'IR-Cred'!$C$3:$C$6</definedName>
    <definedName name="IRParams" localSheetId="0">'IR-Cred'!$C$3:$C$6</definedName>
    <definedName name="IRParams">#REF!</definedName>
    <definedName name="Montecarlo" localSheetId="0">'IR-Cred'!$C$10:$C$10</definedName>
    <definedName name="Nominal">'IR-Cred'!$E$16</definedName>
    <definedName name="ProdDef" localSheetId="0">'IR-Cred'!#REF!</definedName>
    <definedName name="Recovery" localSheetId="0">'IR-Cred'!$C$16</definedName>
    <definedName name="Recovery">#REF!</definedName>
    <definedName name="Results" localSheetId="0">'IR-Cred'!$I$4:$K$681</definedName>
    <definedName name="Swap" localSheetId="0">'IR-Cred'!#REF!</definedName>
    <definedName name="ValueDate" localSheetId="0">'IR-Cred'!$C$12</definedName>
    <definedName name="ValueDate">#REF!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7" i="13" l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</calcChain>
</file>

<file path=xl/sharedStrings.xml><?xml version="1.0" encoding="utf-8"?>
<sst xmlns="http://schemas.openxmlformats.org/spreadsheetml/2006/main" count="27" uniqueCount="21">
  <si>
    <t>Flat fwd</t>
  </si>
  <si>
    <t>MonteCarlo</t>
  </si>
  <si>
    <t>Npaths</t>
  </si>
  <si>
    <t>Value Date</t>
  </si>
  <si>
    <t>ConfInt</t>
  </si>
  <si>
    <t>Mean Rev</t>
  </si>
  <si>
    <t>Rev Level</t>
  </si>
  <si>
    <t>Vol</t>
  </si>
  <si>
    <t>Date</t>
  </si>
  <si>
    <t>IR Params</t>
  </si>
  <si>
    <t>Credit Params</t>
  </si>
  <si>
    <t>CDS</t>
  </si>
  <si>
    <t>Dates</t>
  </si>
  <si>
    <t>Recovery</t>
  </si>
  <si>
    <t>Coupon</t>
  </si>
  <si>
    <t>CDS PREMIUM</t>
  </si>
  <si>
    <t>Conf Int</t>
  </si>
  <si>
    <t>Zero Coupon</t>
  </si>
  <si>
    <t>Surv Prob</t>
  </si>
  <si>
    <t>Correl</t>
  </si>
  <si>
    <t>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</si>
</sst>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C0A]d\-mmm\-yy;@"/>
    <numFmt numFmtId="165" formatCode="0.0%"/>
    <numFmt numFmtId="166" formatCode="0.000"/>
    <numFmt numFmtId="167" formatCode="_-* #,##0_-;\-* #,##0_-;_-* &quot;-&quot;_-;_-@_-"/>
    <numFmt numFmtId="168" formatCode="_-* #,##0.00_-;\-* #,##0.00_-;_-* &quot;-&quot;??_-;_-@_-"/>
    <numFmt numFmtId="169" formatCode="0.000000000000000000%"/>
    <numFmt numFmtId="170" formatCode="_-* #,##0.00\ [$€]_-;\-* #,##0.00\ [$€]_-;_-* &quot;-&quot;??\ [$€]_-;_-@_-"/>
    <numFmt numFmtId="171" formatCode="0\ \b\p"/>
    <numFmt numFmtId="172" formatCode="dd\ mmmyy"/>
    <numFmt numFmtId="173" formatCode="dd\ mmmyy\ hh:mm"/>
    <numFmt numFmtId="174" formatCode="0.00_)"/>
    <numFmt numFmtId="175" formatCode="#,##0.0;\-#,##0.0;\-"/>
    <numFmt numFmtId="176" formatCode="#,##0_);\(#,##0\);&quot;-  &quot;;&quot;  &quot;@"/>
    <numFmt numFmtId="177" formatCode="0.0%;\-0.0%;\-"/>
    <numFmt numFmtId="178" formatCode="#,##0_);[Red]\(#,##0\);\-_0_)"/>
    <numFmt numFmtId="179" formatCode="#,##0.0,_);\(#,##0.0,\);\-_0_)"/>
    <numFmt numFmtId="180" formatCode="#,##0;&quot;(&quot;#,##0&quot;)&quot;;&quot;-&quot;"/>
    <numFmt numFmtId="181" formatCode="#,##0_);[Red]\(#,##0\);&quot;-&quot;_);[Blue]&quot;Error-&quot;@"/>
    <numFmt numFmtId="182" formatCode="#,##0.0_);[Red]\(#,##0.0\);&quot;-&quot;_);[Blue]&quot;Error-&quot;@"/>
    <numFmt numFmtId="183" formatCode="#,##0.00_);[Red]\(#,##0.00\);&quot;-&quot;_);[Blue]&quot;Error-&quot;@"/>
    <numFmt numFmtId="184" formatCode="&quot;£&quot;* #,##0_);[Red]&quot;£&quot;* \(#,##0\);&quot;£&quot;* &quot;-&quot;_);[Blue]&quot;Error-&quot;@"/>
    <numFmt numFmtId="185" formatCode="&quot;£&quot;* #,##0.0_);[Red]&quot;£&quot;* \(#,##0.0\);&quot;£&quot;* &quot;-&quot;_);[Blue]&quot;Error-&quot;@"/>
    <numFmt numFmtId="186" formatCode="&quot;£&quot;* #,##0.00_);[Red]&quot;£&quot;* \(#,##0.00\);&quot;£&quot;* &quot;-&quot;_);[Blue]&quot;Error-&quot;@"/>
    <numFmt numFmtId="187" formatCode="dd\ mmm\ yyyy_)"/>
    <numFmt numFmtId="188" formatCode="dd/mm/yy_)"/>
    <numFmt numFmtId="189" formatCode="0%_);[Red]\-0%_);0%_);[Blue]&quot;Error-&quot;@"/>
    <numFmt numFmtId="190" formatCode="0.0%_);[Red]\-0.0%_);0.0%_);[Blue]&quot;Error-&quot;@"/>
    <numFmt numFmtId="191" formatCode="0.00%_);[Red]\-0.00%_);0.00%_);[Blue]&quot;Error-&quot;@"/>
    <numFmt numFmtId="192" formatCode="000"/>
    <numFmt numFmtId="193" formatCode="mmm\ yy"/>
    <numFmt numFmtId="194" formatCode="_([$€]* #,##0.00_);_([$€]* \(#,##0.00\);_([$€]* &quot;-&quot;??_);_(@_)"/>
    <numFmt numFmtId="195" formatCode="\ ;\ ;"/>
    <numFmt numFmtId="196" formatCode="#,##0\ &quot;Kč&quot;;\-#,##0\ &quot;Kč&quot;"/>
    <numFmt numFmtId="197" formatCode="#,##0.0_);\(#,##0.0\)"/>
    <numFmt numFmtId="198" formatCode="d\ mmm\ yy"/>
    <numFmt numFmtId="199" formatCode="#,##0.0,;[Red]\(#,##0.0,\);\-_)_0"/>
    <numFmt numFmtId="200" formatCode="0%;\-0%;&quot;-&quot;"/>
    <numFmt numFmtId="201" formatCode="_(* #,##0.00%_);_(* \(#,##0.00%\);_(* #,##0.00%_);_(@_)"/>
    <numFmt numFmtId="202" formatCode="_-* #,##0.00\ \€_-;\-* #,##0.00\ \€_-;_-* &quot;-&quot;??\ \€_-;_-@_-"/>
    <numFmt numFmtId="203" formatCode="_-* #,##0.00\ _D_M_-;\-* #,##0.00\ _D_M_-;_-* &quot;-&quot;??\ _D_M_-;_-@_-"/>
    <numFmt numFmtId="204" formatCode="_-[$€-2]* #,##0.000_-;\-[$€-2]* #,##0.000_-;_-[$€-2]* &quot;-&quot;??_-"/>
    <numFmt numFmtId="205" formatCode="#,##0.000"/>
    <numFmt numFmtId="206" formatCode="_-&quot;L.&quot;\ * #,##0_-;\-&quot;L.&quot;\ * #,##0_-;_-&quot;L.&quot;\ * &quot;-&quot;_-;_-@_-"/>
    <numFmt numFmtId="209" formatCode="0.000000000"/>
    <numFmt numFmtId="210" formatCode="_-* #,##0\ _€_-;\-* #,##0\ _€_-;_-* &quot;-&quot;??\ _€_-;_-@_-"/>
  </numFmts>
  <fonts count="7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1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62"/>
      <name val="Calibri"/>
      <family val="2"/>
    </font>
    <font>
      <sz val="10"/>
      <name val="Geneva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10"/>
      <color indexed="63"/>
      <name val="Arial"/>
      <family val="2"/>
    </font>
    <font>
      <sz val="9"/>
      <name val="Times New Roman"/>
      <family val="1"/>
    </font>
    <font>
      <sz val="11"/>
      <color indexed="20"/>
      <name val="Calibri"/>
      <family val="2"/>
    </font>
    <font>
      <b/>
      <sz val="12"/>
      <color indexed="61"/>
      <name val="Tahoma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name val="Antique Olive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sz val="10"/>
      <name val="MS Sans Serif"/>
      <family val="2"/>
    </font>
    <font>
      <sz val="10"/>
      <name val="Arial CE"/>
      <charset val="238"/>
    </font>
    <font>
      <sz val="10"/>
      <color indexed="62"/>
      <name val="Arial"/>
      <family val="2"/>
    </font>
    <font>
      <b/>
      <sz val="11"/>
      <color indexed="9"/>
      <name val="Calibri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b/>
      <sz val="9"/>
      <color indexed="42"/>
      <name val="Tahom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8"/>
      <name val="Arial"/>
      <family val="2"/>
    </font>
    <font>
      <sz val="10"/>
      <color indexed="12"/>
      <name val="MS Sans Serif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sz val="10"/>
      <color indexed="62"/>
      <name val="Arial"/>
      <family val="2"/>
    </font>
    <font>
      <i/>
      <sz val="8"/>
      <color indexed="62"/>
      <name val="Arial"/>
      <family val="2"/>
    </font>
    <font>
      <sz val="8"/>
      <color indexed="20"/>
      <name val="Arial"/>
      <family val="2"/>
    </font>
    <font>
      <sz val="11"/>
      <color indexed="52"/>
      <name val="Calibri"/>
      <family val="2"/>
    </font>
    <font>
      <b/>
      <sz val="12"/>
      <color indexed="20"/>
      <name val="Tahoma"/>
      <family val="2"/>
    </font>
    <font>
      <sz val="7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b/>
      <i/>
      <sz val="16"/>
      <name val="Helv"/>
    </font>
    <font>
      <sz val="10"/>
      <name val="Arial Narrow"/>
      <family val="2"/>
    </font>
    <font>
      <sz val="10"/>
      <color indexed="14"/>
      <name val="Arial"/>
      <family val="2"/>
    </font>
    <font>
      <sz val="10"/>
      <name val="Stone Sans"/>
      <family val="2"/>
    </font>
    <font>
      <sz val="10"/>
      <color indexed="20"/>
      <name val="Arial"/>
      <family val="2"/>
    </font>
    <font>
      <sz val="9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8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b/>
      <sz val="18"/>
      <name val="Arial CE"/>
      <charset val="238"/>
    </font>
    <font>
      <b/>
      <sz val="12"/>
      <name val="Arial CE"/>
      <charset val="238"/>
    </font>
    <font>
      <sz val="8"/>
      <name val="Calibri"/>
      <family val="2"/>
    </font>
    <font>
      <sz val="11"/>
      <color rgb="FF00000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7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95">
    <xf numFmtId="0" fontId="0" fillId="0" borderId="0"/>
    <xf numFmtId="0" fontId="5" fillId="0" borderId="0">
      <alignment horizontal="left" wrapText="1"/>
    </xf>
    <xf numFmtId="175" fontId="5" fillId="2" borderId="0" applyFont="0" applyFill="0" applyBorder="0" applyAlignment="0" applyProtection="0"/>
    <xf numFmtId="175" fontId="5" fillId="2" borderId="0" applyFont="0" applyFill="0" applyBorder="0" applyAlignment="0" applyProtection="0"/>
    <xf numFmtId="0" fontId="8" fillId="0" borderId="0"/>
    <xf numFmtId="0" fontId="8" fillId="0" borderId="0"/>
    <xf numFmtId="176" fontId="5" fillId="0" borderId="0">
      <alignment vertical="top"/>
    </xf>
    <xf numFmtId="176" fontId="5" fillId="0" borderId="0">
      <alignment vertical="top"/>
    </xf>
    <xf numFmtId="0" fontId="5" fillId="0" borderId="0"/>
    <xf numFmtId="0" fontId="5" fillId="0" borderId="0"/>
    <xf numFmtId="0" fontId="8" fillId="0" borderId="0"/>
    <xf numFmtId="0" fontId="8" fillId="0" borderId="0"/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0" fontId="5" fillId="0" borderId="0"/>
    <xf numFmtId="0" fontId="5" fillId="0" borderId="0"/>
    <xf numFmtId="0" fontId="8" fillId="0" borderId="0"/>
    <xf numFmtId="0" fontId="8" fillId="0" borderId="0"/>
    <xf numFmtId="0" fontId="8" fillId="0" borderId="0"/>
    <xf numFmtId="0" fontId="8" fillId="0" borderId="0"/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176" fontId="5" fillId="0" borderId="0">
      <alignment vertical="top"/>
    </xf>
    <xf numFmtId="0" fontId="8" fillId="0" borderId="0"/>
    <xf numFmtId="176" fontId="5" fillId="0" borderId="0">
      <alignment vertical="top"/>
    </xf>
    <xf numFmtId="176" fontId="5" fillId="0" borderId="0">
      <alignment vertical="top"/>
    </xf>
    <xf numFmtId="0" fontId="8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/>
    <xf numFmtId="0" fontId="9" fillId="0" borderId="0"/>
    <xf numFmtId="0" fontId="5" fillId="0" borderId="0"/>
    <xf numFmtId="0" fontId="5" fillId="0" borderId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7" borderId="0" applyNumberFormat="0" applyBorder="0" applyAlignment="0" applyProtection="0"/>
    <xf numFmtId="0" fontId="10" fillId="11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2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0" fillId="11" borderId="0" applyNumberFormat="0" applyBorder="0" applyAlignment="0" applyProtection="0"/>
    <xf numFmtId="0" fontId="11" fillId="15" borderId="0" applyNumberFormat="0" applyBorder="0" applyAlignment="0" applyProtection="0"/>
    <xf numFmtId="0" fontId="11" fillId="10" borderId="0" applyNumberFormat="0" applyBorder="0" applyAlignment="0" applyProtection="0"/>
    <xf numFmtId="0" fontId="11" fillId="12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7" borderId="0" applyNumberFormat="0" applyBorder="0" applyAlignment="0" applyProtection="0"/>
    <xf numFmtId="0" fontId="12" fillId="19" borderId="0" applyNumberFormat="0" applyBorder="0" applyAlignment="0" applyProtection="0"/>
    <xf numFmtId="0" fontId="12" fillId="13" borderId="0" applyNumberFormat="0" applyBorder="0" applyAlignment="0" applyProtection="0"/>
    <xf numFmtId="0" fontId="12" fillId="4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3" fillId="0" borderId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3" borderId="0" applyNumberFormat="0" applyBorder="0" applyAlignment="0" applyProtection="0"/>
    <xf numFmtId="0" fontId="12" fillId="24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49" fontId="6" fillId="0" borderId="1" applyFill="0" applyProtection="0">
      <alignment horizontal="left" vertical="top"/>
    </xf>
    <xf numFmtId="0" fontId="14" fillId="25" borderId="2" applyNumberFormat="0" applyAlignment="0" applyProtection="0"/>
    <xf numFmtId="0" fontId="15" fillId="0" borderId="0"/>
    <xf numFmtId="0" fontId="5" fillId="2" borderId="0" applyNumberFormat="0" applyFont="0" applyAlignment="0"/>
    <xf numFmtId="0" fontId="16" fillId="4" borderId="0" applyNumberFormat="0" applyBorder="0" applyAlignment="0" applyProtection="0"/>
    <xf numFmtId="0" fontId="17" fillId="26" borderId="0">
      <alignment vertical="center"/>
    </xf>
    <xf numFmtId="0" fontId="18" fillId="25" borderId="3" applyNumberFormat="0" applyAlignment="0" applyProtection="0"/>
    <xf numFmtId="177" fontId="19" fillId="0" borderId="0"/>
    <xf numFmtId="175" fontId="19" fillId="0" borderId="0"/>
    <xf numFmtId="165" fontId="20" fillId="27" borderId="0"/>
    <xf numFmtId="175" fontId="20" fillId="27" borderId="0"/>
    <xf numFmtId="178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179" fontId="21" fillId="0" borderId="0" applyFont="0" applyFill="0" applyBorder="0" applyAlignment="0" applyProtection="0"/>
    <xf numFmtId="180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0" fontId="22" fillId="28" borderId="0"/>
    <xf numFmtId="181" fontId="13" fillId="0" borderId="0"/>
    <xf numFmtId="182" fontId="13" fillId="0" borderId="0"/>
    <xf numFmtId="183" fontId="13" fillId="0" borderId="0"/>
    <xf numFmtId="181" fontId="13" fillId="0" borderId="4"/>
    <xf numFmtId="182" fontId="13" fillId="0" borderId="4"/>
    <xf numFmtId="183" fontId="13" fillId="0" borderId="4"/>
    <xf numFmtId="184" fontId="13" fillId="0" borderId="0"/>
    <xf numFmtId="185" fontId="13" fillId="0" borderId="0"/>
    <xf numFmtId="186" fontId="13" fillId="0" borderId="0"/>
    <xf numFmtId="184" fontId="13" fillId="0" borderId="4"/>
    <xf numFmtId="185" fontId="13" fillId="0" borderId="4"/>
    <xf numFmtId="186" fontId="13" fillId="0" borderId="4"/>
    <xf numFmtId="187" fontId="13" fillId="0" borderId="0">
      <alignment horizontal="right"/>
      <protection locked="0"/>
    </xf>
    <xf numFmtId="188" fontId="13" fillId="0" borderId="0">
      <alignment horizontal="right"/>
      <protection locked="0"/>
    </xf>
    <xf numFmtId="189" fontId="13" fillId="0" borderId="0"/>
    <xf numFmtId="190" fontId="13" fillId="0" borderId="0"/>
    <xf numFmtId="191" fontId="13" fillId="0" borderId="0"/>
    <xf numFmtId="189" fontId="13" fillId="0" borderId="4"/>
    <xf numFmtId="190" fontId="13" fillId="0" borderId="4"/>
    <xf numFmtId="191" fontId="13" fillId="0" borderId="4"/>
    <xf numFmtId="0" fontId="22" fillId="28" borderId="0"/>
    <xf numFmtId="0" fontId="23" fillId="29" borderId="3" applyNumberFormat="0" applyAlignment="0" applyProtection="0"/>
    <xf numFmtId="0" fontId="24" fillId="0" borderId="0"/>
    <xf numFmtId="0" fontId="25" fillId="0" borderId="5" applyNumberFormat="0" applyFont="0" applyFill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0" fontId="26" fillId="30" borderId="6" applyNumberFormat="0" applyAlignment="0">
      <alignment horizontal="right"/>
    </xf>
    <xf numFmtId="0" fontId="27" fillId="31" borderId="7" applyNumberFormat="0" applyAlignment="0" applyProtection="0"/>
    <xf numFmtId="181" fontId="13" fillId="32" borderId="8">
      <protection locked="0"/>
    </xf>
    <xf numFmtId="182" fontId="13" fillId="32" borderId="8">
      <protection locked="0"/>
    </xf>
    <xf numFmtId="183" fontId="13" fillId="32" borderId="8">
      <protection locked="0"/>
    </xf>
    <xf numFmtId="184" fontId="13" fillId="32" borderId="8">
      <protection locked="0"/>
    </xf>
    <xf numFmtId="185" fontId="13" fillId="32" borderId="8">
      <protection locked="0"/>
    </xf>
    <xf numFmtId="186" fontId="13" fillId="32" borderId="8">
      <protection locked="0"/>
    </xf>
    <xf numFmtId="187" fontId="13" fillId="27" borderId="8">
      <alignment horizontal="right"/>
      <protection locked="0"/>
    </xf>
    <xf numFmtId="188" fontId="13" fillId="27" borderId="8">
      <alignment horizontal="right"/>
      <protection locked="0"/>
    </xf>
    <xf numFmtId="0" fontId="13" fillId="33" borderId="8">
      <alignment horizontal="left"/>
      <protection locked="0"/>
    </xf>
    <xf numFmtId="49" fontId="13" fillId="34" borderId="8">
      <alignment horizontal="left" vertical="top" wrapText="1"/>
      <protection locked="0"/>
    </xf>
    <xf numFmtId="189" fontId="13" fillId="32" borderId="8">
      <protection locked="0"/>
    </xf>
    <xf numFmtId="190" fontId="13" fillId="32" borderId="8">
      <protection locked="0"/>
    </xf>
    <xf numFmtId="191" fontId="13" fillId="32" borderId="8">
      <protection locked="0"/>
    </xf>
    <xf numFmtId="49" fontId="13" fillId="34" borderId="8">
      <alignment horizontal="left"/>
      <protection locked="0"/>
    </xf>
    <xf numFmtId="192" fontId="13" fillId="32" borderId="8">
      <alignment horizontal="left"/>
      <protection locked="0"/>
    </xf>
    <xf numFmtId="0" fontId="28" fillId="35" borderId="0">
      <protection locked="0"/>
    </xf>
    <xf numFmtId="172" fontId="28" fillId="0" borderId="0" applyFont="0" applyFill="0" applyBorder="0" applyAlignment="0" applyProtection="0"/>
    <xf numFmtId="15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73" fontId="29" fillId="28" borderId="0" applyFont="0" applyFill="0" applyBorder="0" applyAlignment="0" applyProtection="0">
      <alignment vertical="center"/>
    </xf>
    <xf numFmtId="0" fontId="25" fillId="0" borderId="0" applyFont="0" applyFill="0" applyBorder="0" applyAlignment="0" applyProtection="0"/>
    <xf numFmtId="49" fontId="5" fillId="0" borderId="1" applyFill="0" applyProtection="0">
      <alignment horizontal="left" vertical="top" wrapText="1"/>
    </xf>
    <xf numFmtId="49" fontId="5" fillId="0" borderId="1" applyFill="0" applyProtection="0">
      <alignment horizontal="left" vertical="top" wrapText="1"/>
    </xf>
    <xf numFmtId="49" fontId="6" fillId="0" borderId="1" applyFill="0" applyProtection="0">
      <alignment horizontal="left" vertical="top" wrapText="1"/>
    </xf>
    <xf numFmtId="168" fontId="5" fillId="0" borderId="0" applyFont="0" applyFill="0" applyBorder="0" applyAlignment="0" applyProtection="0"/>
    <xf numFmtId="0" fontId="26" fillId="14" borderId="3" applyNumberFormat="0" applyAlignment="0" applyProtection="0"/>
    <xf numFmtId="169" fontId="5" fillId="36" borderId="0" applyNumberFormat="0" applyBorder="0" applyProtection="0">
      <alignment horizontal="center" vertical="center"/>
    </xf>
    <xf numFmtId="204" fontId="11" fillId="20" borderId="0" applyNumberFormat="0" applyBorder="0" applyAlignment="0" applyProtection="0"/>
    <xf numFmtId="0" fontId="30" fillId="0" borderId="9" applyNumberFormat="0" applyFill="0" applyAlignment="0" applyProtection="0"/>
    <xf numFmtId="0" fontId="31" fillId="0" borderId="0" applyNumberFormat="0" applyFill="0" applyBorder="0" applyAlignment="0" applyProtection="0"/>
    <xf numFmtId="170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94" fontId="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3" fontId="25" fillId="0" borderId="0" applyFont="0" applyFill="0" applyBorder="0" applyAlignment="0" applyProtection="0"/>
    <xf numFmtId="0" fontId="34" fillId="5" borderId="0" applyNumberFormat="0" applyBorder="0" applyAlignment="0" applyProtection="0"/>
    <xf numFmtId="0" fontId="35" fillId="7" borderId="0" applyNumberFormat="0" applyBorder="0" applyAlignment="0" applyProtection="0"/>
    <xf numFmtId="0" fontId="36" fillId="37" borderId="0"/>
    <xf numFmtId="0" fontId="37" fillId="0" borderId="10" applyNumberFormat="0" applyFill="0" applyAlignment="0" applyProtection="0"/>
    <xf numFmtId="0" fontId="38" fillId="0" borderId="11" applyNumberFormat="0" applyFill="0" applyAlignment="0" applyProtection="0"/>
    <xf numFmtId="0" fontId="39" fillId="0" borderId="12" applyNumberFormat="0" applyFill="0" applyAlignment="0" applyProtection="0"/>
    <xf numFmtId="0" fontId="39" fillId="0" borderId="0" applyNumberFormat="0" applyFill="0" applyBorder="0" applyAlignment="0" applyProtection="0"/>
    <xf numFmtId="195" fontId="12" fillId="0" borderId="0" applyAlignment="0">
      <alignment horizontal="right"/>
      <protection hidden="1"/>
    </xf>
    <xf numFmtId="10" fontId="5" fillId="0" borderId="0" applyBorder="0"/>
    <xf numFmtId="10" fontId="5" fillId="0" borderId="0" applyBorder="0"/>
    <xf numFmtId="166" fontId="5" fillId="0" borderId="0"/>
    <xf numFmtId="166" fontId="5" fillId="0" borderId="0"/>
    <xf numFmtId="39" fontId="6" fillId="0" borderId="1" applyFill="0" applyProtection="0">
      <alignment horizontal="right"/>
    </xf>
    <xf numFmtId="10" fontId="40" fillId="35" borderId="6" applyNumberFormat="0" applyAlignment="0">
      <protection locked="0"/>
    </xf>
    <xf numFmtId="10" fontId="41" fillId="0" borderId="0">
      <protection locked="0"/>
    </xf>
    <xf numFmtId="15" fontId="41" fillId="0" borderId="0">
      <protection locked="0"/>
    </xf>
    <xf numFmtId="2" fontId="41" fillId="0" borderId="1">
      <protection locked="0"/>
    </xf>
    <xf numFmtId="0" fontId="41" fillId="0" borderId="0">
      <protection locked="0"/>
    </xf>
    <xf numFmtId="38" fontId="42" fillId="0" borderId="0"/>
    <xf numFmtId="38" fontId="43" fillId="0" borderId="0"/>
    <xf numFmtId="38" fontId="44" fillId="0" borderId="0"/>
    <xf numFmtId="38" fontId="45" fillId="0" borderId="0"/>
    <xf numFmtId="0" fontId="46" fillId="0" borderId="0"/>
    <xf numFmtId="0" fontId="46" fillId="0" borderId="0"/>
    <xf numFmtId="0" fontId="47" fillId="38" borderId="6" applyNumberFormat="0" applyBorder="0" applyAlignment="0">
      <alignment horizontal="right"/>
    </xf>
    <xf numFmtId="0" fontId="13" fillId="0" borderId="0"/>
    <xf numFmtId="0" fontId="48" fillId="0" borderId="0"/>
    <xf numFmtId="0" fontId="49" fillId="0" borderId="0">
      <alignment horizontal="center"/>
    </xf>
    <xf numFmtId="0" fontId="5" fillId="39" borderId="0" applyNumberFormat="0" applyFont="0" applyBorder="0" applyAlignment="0" applyProtection="0"/>
    <xf numFmtId="0" fontId="5" fillId="39" borderId="0" applyNumberFormat="0" applyFont="0" applyBorder="0" applyAlignment="0" applyProtection="0"/>
    <xf numFmtId="0" fontId="50" fillId="0" borderId="13" applyNumberFormat="0" applyFill="0" applyAlignment="0" applyProtection="0"/>
    <xf numFmtId="0" fontId="51" fillId="40" borderId="2">
      <protection locked="0"/>
    </xf>
    <xf numFmtId="196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205" fontId="5" fillId="0" borderId="1" applyFill="0" applyProtection="0">
      <alignment horizontal="right" vertical="top"/>
    </xf>
    <xf numFmtId="205" fontId="5" fillId="0" borderId="1" applyFill="0" applyProtection="0">
      <alignment horizontal="right" vertical="top"/>
    </xf>
    <xf numFmtId="205" fontId="6" fillId="0" borderId="1" applyFill="0" applyProtection="0">
      <alignment horizontal="right"/>
    </xf>
    <xf numFmtId="0" fontId="52" fillId="0" borderId="0" applyFont="0" applyAlignment="0">
      <alignment horizontal="left"/>
    </xf>
    <xf numFmtId="0" fontId="53" fillId="14" borderId="0" applyNumberFormat="0" applyBorder="0" applyAlignment="0" applyProtection="0"/>
    <xf numFmtId="0" fontId="54" fillId="0" borderId="0"/>
    <xf numFmtId="174" fontId="55" fillId="0" borderId="0"/>
    <xf numFmtId="176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76" fontId="5" fillId="0" borderId="0">
      <alignment vertical="top"/>
    </xf>
    <xf numFmtId="0" fontId="9" fillId="0" borderId="0"/>
    <xf numFmtId="0" fontId="5" fillId="0" borderId="0"/>
    <xf numFmtId="0" fontId="5" fillId="0" borderId="0"/>
    <xf numFmtId="0" fontId="5" fillId="0" borderId="0"/>
    <xf numFmtId="0" fontId="25" fillId="0" borderId="0"/>
    <xf numFmtId="0" fontId="9" fillId="0" borderId="0"/>
    <xf numFmtId="0" fontId="5" fillId="0" borderId="0"/>
    <xf numFmtId="0" fontId="5" fillId="0" borderId="0"/>
    <xf numFmtId="0" fontId="1" fillId="0" borderId="0"/>
    <xf numFmtId="0" fontId="5" fillId="11" borderId="14" applyNumberFormat="0" applyFont="0" applyAlignment="0" applyProtection="0"/>
    <xf numFmtId="0" fontId="5" fillId="11" borderId="14" applyNumberFormat="0" applyFont="0" applyAlignment="0" applyProtection="0"/>
    <xf numFmtId="0" fontId="5" fillId="11" borderId="14" applyNumberFormat="0" applyFont="0" applyAlignment="0" applyProtection="0"/>
    <xf numFmtId="197" fontId="56" fillId="0" borderId="0"/>
    <xf numFmtId="49" fontId="6" fillId="0" borderId="1" applyNumberFormat="0" applyFill="0" applyProtection="0">
      <alignment horizontal="left" vertical="top"/>
    </xf>
    <xf numFmtId="0" fontId="57" fillId="0" borderId="0">
      <alignment horizontal="left"/>
    </xf>
    <xf numFmtId="198" fontId="58" fillId="0" borderId="4" applyFill="0" applyBorder="0" applyAlignment="0" applyProtection="0"/>
    <xf numFmtId="0" fontId="46" fillId="2" borderId="15" applyBorder="0"/>
    <xf numFmtId="3" fontId="58" fillId="0" borderId="0" applyFill="0" applyBorder="0" applyAlignment="0" applyProtection="0"/>
    <xf numFmtId="199" fontId="58" fillId="0" borderId="0" applyFill="0" applyBorder="0" applyAlignment="0" applyProtection="0"/>
    <xf numFmtId="10" fontId="58" fillId="0" borderId="0" applyFont="0" applyFill="0" applyBorder="0" applyAlignment="0" applyProtection="0"/>
    <xf numFmtId="166" fontId="58" fillId="0" borderId="0" applyFont="0" applyFill="0" applyBorder="0" applyAlignment="0" applyProtection="0"/>
    <xf numFmtId="171" fontId="26" fillId="27" borderId="6" applyNumberFormat="0" applyAlignment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5" fillId="0" borderId="0" applyFont="0" applyFill="0" applyBorder="0" applyAlignment="0" applyProtection="0"/>
    <xf numFmtId="200" fontId="5" fillId="0" borderId="0"/>
    <xf numFmtId="200" fontId="5" fillId="0" borderId="0"/>
    <xf numFmtId="2" fontId="25" fillId="0" borderId="0" applyFont="0" applyFill="0" applyBorder="0" applyAlignment="0" applyProtection="0"/>
    <xf numFmtId="39" fontId="6" fillId="0" borderId="1" applyFill="0" applyProtection="0">
      <alignment horizontal="right"/>
    </xf>
    <xf numFmtId="0" fontId="29" fillId="28" borderId="0"/>
    <xf numFmtId="0" fontId="22" fillId="34" borderId="0"/>
    <xf numFmtId="0" fontId="29" fillId="28" borderId="0"/>
    <xf numFmtId="0" fontId="59" fillId="6" borderId="0" applyNumberFormat="0" applyBorder="0" applyAlignment="0" applyProtection="0"/>
    <xf numFmtId="0" fontId="5" fillId="0" borderId="0"/>
    <xf numFmtId="0" fontId="28" fillId="28" borderId="0"/>
    <xf numFmtId="201" fontId="10" fillId="0" borderId="0" applyFill="0" applyBorder="0" applyAlignment="0"/>
    <xf numFmtId="0" fontId="5" fillId="0" borderId="0"/>
    <xf numFmtId="0" fontId="5" fillId="0" borderId="0"/>
    <xf numFmtId="0" fontId="60" fillId="27" borderId="6">
      <protection locked="0"/>
    </xf>
    <xf numFmtId="0" fontId="61" fillId="37" borderId="0">
      <alignment vertical="center"/>
    </xf>
    <xf numFmtId="0" fontId="29" fillId="28" borderId="0"/>
    <xf numFmtId="0" fontId="52" fillId="0" borderId="0">
      <alignment horizontal="center"/>
    </xf>
    <xf numFmtId="15" fontId="52" fillId="0" borderId="0">
      <alignment horizontal="center"/>
    </xf>
    <xf numFmtId="0" fontId="12" fillId="41" borderId="0" applyNumberFormat="0" applyBorder="0" applyAlignment="0" applyProtection="0"/>
    <xf numFmtId="0" fontId="62" fillId="0" borderId="16" applyNumberFormat="0" applyFill="0" applyAlignment="0" applyProtection="0"/>
    <xf numFmtId="49" fontId="6" fillId="0" borderId="1" applyFill="0" applyProtection="0">
      <alignment horizontal="center"/>
    </xf>
    <xf numFmtId="0" fontId="63" fillId="0" borderId="0" applyNumberFormat="0" applyFill="0" applyBorder="0" applyAlignment="0" applyProtection="0"/>
    <xf numFmtId="0" fontId="64" fillId="0" borderId="17" applyNumberFormat="0" applyFill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6" fillId="0" borderId="0" applyNumberFormat="0" applyFill="0" applyBorder="0" applyAlignment="0" applyProtection="0"/>
    <xf numFmtId="49" fontId="5" fillId="0" borderId="1" applyFill="0" applyProtection="0">
      <alignment horizontal="center" vertical="top"/>
    </xf>
    <xf numFmtId="49" fontId="5" fillId="0" borderId="1" applyFill="0" applyProtection="0">
      <alignment horizontal="center" vertical="top"/>
    </xf>
    <xf numFmtId="0" fontId="5" fillId="32" borderId="0" applyNumberFormat="0" applyBorder="0" applyAlignment="0">
      <protection locked="0"/>
    </xf>
    <xf numFmtId="206" fontId="5" fillId="0" borderId="0" applyFont="0" applyFill="0" applyBorder="0" applyAlignment="0" applyProtection="0"/>
    <xf numFmtId="0" fontId="67" fillId="0" borderId="20" applyNumberFormat="0" applyFill="0" applyAlignment="0" applyProtection="0"/>
    <xf numFmtId="202" fontId="5" fillId="0" borderId="0" applyFont="0" applyFill="0" applyBorder="0" applyAlignment="0" applyProtection="0"/>
    <xf numFmtId="202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1" fillId="31" borderId="7" applyNumberFormat="0" applyAlignment="0" applyProtection="0"/>
  </cellStyleXfs>
  <cellXfs count="49">
    <xf numFmtId="0" fontId="0" fillId="0" borderId="0" xfId="0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4" fillId="32" borderId="24" xfId="0" applyFont="1" applyFill="1" applyBorder="1" applyAlignment="1">
      <alignment horizontal="right"/>
    </xf>
    <xf numFmtId="0" fontId="7" fillId="0" borderId="0" xfId="0" applyFont="1"/>
    <xf numFmtId="0" fontId="3" fillId="0" borderId="0" xfId="0" applyFont="1"/>
    <xf numFmtId="0" fontId="7" fillId="0" borderId="0" xfId="0" applyFont="1" applyFill="1" applyBorder="1"/>
    <xf numFmtId="10" fontId="4" fillId="32" borderId="25" xfId="0" applyNumberFormat="1" applyFont="1" applyFill="1" applyBorder="1" applyAlignment="1">
      <alignment horizontal="right"/>
    </xf>
    <xf numFmtId="10" fontId="4" fillId="32" borderId="25" xfId="250" applyNumberFormat="1" applyFont="1" applyFill="1" applyBorder="1" applyAlignment="1">
      <alignment horizontal="right"/>
    </xf>
    <xf numFmtId="10" fontId="4" fillId="32" borderId="26" xfId="0" applyNumberFormat="1" applyFont="1" applyFill="1" applyBorder="1" applyAlignment="1">
      <alignment horizontal="right"/>
    </xf>
    <xf numFmtId="0" fontId="0" fillId="42" borderId="27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42" borderId="0" xfId="0" applyFill="1" applyBorder="1" applyAlignment="1">
      <alignment horizontal="center"/>
    </xf>
    <xf numFmtId="164" fontId="0" fillId="42" borderId="22" xfId="0" applyNumberFormat="1" applyFill="1" applyBorder="1" applyAlignment="1">
      <alignment horizontal="center"/>
    </xf>
    <xf numFmtId="164" fontId="0" fillId="0" borderId="0" xfId="0" applyNumberFormat="1"/>
    <xf numFmtId="0" fontId="3" fillId="0" borderId="21" xfId="0" applyFont="1" applyBorder="1"/>
    <xf numFmtId="0" fontId="4" fillId="32" borderId="24" xfId="0" applyFont="1" applyFill="1" applyBorder="1" applyAlignment="1">
      <alignment horizontal="right"/>
    </xf>
    <xf numFmtId="0" fontId="3" fillId="0" borderId="22" xfId="0" applyFont="1" applyBorder="1"/>
    <xf numFmtId="10" fontId="4" fillId="32" borderId="25" xfId="0" applyNumberFormat="1" applyFont="1" applyFill="1" applyBorder="1" applyAlignment="1">
      <alignment horizontal="right"/>
    </xf>
    <xf numFmtId="10" fontId="4" fillId="32" borderId="25" xfId="250" applyNumberFormat="1" applyFont="1" applyFill="1" applyBorder="1" applyAlignment="1">
      <alignment horizontal="right"/>
    </xf>
    <xf numFmtId="0" fontId="3" fillId="0" borderId="23" xfId="0" applyFont="1" applyBorder="1"/>
    <xf numFmtId="164" fontId="1" fillId="42" borderId="22" xfId="134" applyNumberFormat="1" applyFont="1" applyFill="1" applyBorder="1" applyAlignment="1">
      <alignment horizontal="center"/>
    </xf>
    <xf numFmtId="43" fontId="1" fillId="42" borderId="0" xfId="134" applyFont="1" applyFill="1" applyBorder="1" applyAlignment="1">
      <alignment horizontal="center"/>
    </xf>
    <xf numFmtId="43" fontId="1" fillId="42" borderId="27" xfId="134" applyFont="1" applyFill="1" applyBorder="1" applyAlignment="1">
      <alignment horizontal="center"/>
    </xf>
    <xf numFmtId="164" fontId="1" fillId="42" borderId="23" xfId="134" applyNumberFormat="1" applyFont="1" applyFill="1" applyBorder="1" applyAlignment="1">
      <alignment horizontal="center"/>
    </xf>
    <xf numFmtId="43" fontId="1" fillId="42" borderId="31" xfId="134" applyFont="1" applyFill="1" applyBorder="1" applyAlignment="1">
      <alignment horizontal="center"/>
    </xf>
    <xf numFmtId="43" fontId="1" fillId="42" borderId="32" xfId="134" applyFont="1" applyFill="1" applyBorder="1" applyAlignment="1">
      <alignment horizontal="center"/>
    </xf>
    <xf numFmtId="0" fontId="3" fillId="0" borderId="28" xfId="0" applyFont="1" applyFill="1" applyBorder="1"/>
    <xf numFmtId="0" fontId="4" fillId="36" borderId="33" xfId="0" applyFont="1" applyFill="1" applyBorder="1"/>
    <xf numFmtId="0" fontId="3" fillId="0" borderId="28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15" fontId="4" fillId="36" borderId="33" xfId="0" applyNumberFormat="1" applyFont="1" applyFill="1" applyBorder="1"/>
    <xf numFmtId="15" fontId="0" fillId="36" borderId="34" xfId="0" applyNumberFormat="1" applyFill="1" applyBorder="1" applyAlignment="1">
      <alignment horizontal="center"/>
    </xf>
    <xf numFmtId="15" fontId="0" fillId="36" borderId="35" xfId="0" applyNumberFormat="1" applyFill="1" applyBorder="1" applyAlignment="1">
      <alignment horizontal="center"/>
    </xf>
    <xf numFmtId="0" fontId="3" fillId="0" borderId="36" xfId="0" applyFont="1" applyBorder="1" applyAlignment="1">
      <alignment horizontal="center"/>
    </xf>
    <xf numFmtId="15" fontId="0" fillId="36" borderId="22" xfId="0" applyNumberFormat="1" applyFill="1" applyBorder="1" applyAlignment="1">
      <alignment horizontal="center"/>
    </xf>
    <xf numFmtId="209" fontId="0" fillId="0" borderId="0" xfId="0" applyNumberFormat="1"/>
    <xf numFmtId="9" fontId="0" fillId="36" borderId="36" xfId="250" applyFont="1" applyFill="1" applyBorder="1" applyAlignment="1">
      <alignment horizontal="center"/>
    </xf>
    <xf numFmtId="10" fontId="0" fillId="36" borderId="36" xfId="0" applyNumberFormat="1" applyFill="1" applyBorder="1" applyAlignment="1">
      <alignment horizontal="center"/>
    </xf>
    <xf numFmtId="210" fontId="0" fillId="36" borderId="36" xfId="134" applyNumberFormat="1" applyFont="1" applyFill="1" applyBorder="1" applyAlignment="1">
      <alignment horizontal="center"/>
    </xf>
    <xf numFmtId="1" fontId="0" fillId="42" borderId="22" xfId="0" applyNumberFormat="1" applyFill="1" applyBorder="1" applyAlignment="1">
      <alignment horizontal="center"/>
    </xf>
    <xf numFmtId="1" fontId="0" fillId="42" borderId="0" xfId="0" applyNumberFormat="1" applyFill="1" applyBorder="1" applyAlignment="1">
      <alignment horizontal="center"/>
    </xf>
    <xf numFmtId="10" fontId="4" fillId="43" borderId="26" xfId="0" applyNumberFormat="1" applyFont="1" applyFill="1" applyBorder="1" applyAlignment="1">
      <alignment horizontal="right"/>
    </xf>
    <xf numFmtId="9" fontId="0" fillId="0" borderId="0" xfId="0" applyNumberFormat="1"/>
  </cellXfs>
  <cellStyles count="295">
    <cellStyle name=" 1" xfId="1" xr:uid="{00000000-0005-0000-0000-000000000000}"/>
    <cellStyle name="# ###,#" xfId="2" xr:uid="{00000000-0005-0000-0000-000001000000}"/>
    <cellStyle name="# ###,# 2" xfId="3" xr:uid="{00000000-0005-0000-0000-000002000000}"/>
    <cellStyle name="%" xfId="4" xr:uid="{00000000-0005-0000-0000-000003000000}"/>
    <cellStyle name="_050513 SPC cost model rev 13" xfId="5" xr:uid="{00000000-0005-0000-0000-000004000000}"/>
    <cellStyle name="_20080930 PayMech_1" xfId="6" xr:uid="{00000000-0005-0000-0000-000005000000}"/>
    <cellStyle name="_20080930 PayMech_1 2" xfId="7" xr:uid="{00000000-0005-0000-0000-000006000000}"/>
    <cellStyle name="_201006  NI Roads Cost Model BAFO 05d srnb RBC" xfId="8" xr:uid="{00000000-0005-0000-0000-000007000000}"/>
    <cellStyle name="_201006  NI Roads Cost Model BAFO 05d srnb RBC 2" xfId="9" xr:uid="{00000000-0005-0000-0000-000008000000}"/>
    <cellStyle name="_Book16" xfId="10" xr:uid="{00000000-0005-0000-0000-000009000000}"/>
    <cellStyle name="_Book17" xfId="11" xr:uid="{00000000-0005-0000-0000-00000A000000}"/>
    <cellStyle name="_Copy of Bid_FM_1905_ÖHtmodell für fin sect &amp; ass book" xfId="12" xr:uid="{00000000-0005-0000-0000-00000B000000}"/>
    <cellStyle name="_Copy of Bid_FM_1905_ÖHtmodell für fin sect &amp; ass book 2" xfId="13" xr:uid="{00000000-0005-0000-0000-00000C000000}"/>
    <cellStyle name="_Data" xfId="14" xr:uid="{00000000-0005-0000-0000-00000D000000}"/>
    <cellStyle name="_Data 2" xfId="15" xr:uid="{00000000-0005-0000-0000-00000E000000}"/>
    <cellStyle name="_Edinburgh Schools Project FM Inputs 160305" xfId="16" xr:uid="{00000000-0005-0000-0000-00000F000000}"/>
    <cellStyle name="_Edinburgh Schools Project FM Inputs 160305 2" xfId="17" xr:uid="{00000000-0005-0000-0000-000010000000}"/>
    <cellStyle name="_EdiSch FM Cost Model BBCPL Template ITN v2 2" xfId="18" xr:uid="{00000000-0005-0000-0000-000011000000}"/>
    <cellStyle name="_EdiSch FM Cost Model BBCPL Template ITN v3.3" xfId="19" xr:uid="{00000000-0005-0000-0000-000012000000}"/>
    <cellStyle name="_EdiSch FM Pro Formae ITN v4.2 MV1 incl Tynecastle_sg" xfId="20" xr:uid="{00000000-0005-0000-0000-000013000000}"/>
    <cellStyle name="_EdiSch FM Pro Formae ITN v4.2 STD_sg" xfId="21" xr:uid="{00000000-0005-0000-0000-000014000000}"/>
    <cellStyle name="_Fin" xfId="22" xr:uid="{00000000-0005-0000-0000-000015000000}"/>
    <cellStyle name="_Fin 2" xfId="23" xr:uid="{00000000-0005-0000-0000-000016000000}"/>
    <cellStyle name="_FM 20080916_v1" xfId="24" xr:uid="{00000000-0005-0000-0000-000017000000}"/>
    <cellStyle name="_FM 20080916_v1 2" xfId="25" xr:uid="{00000000-0005-0000-0000-000018000000}"/>
    <cellStyle name="_FM_20080514_v1_MRA freez" xfId="26" xr:uid="{00000000-0005-0000-0000-000019000000}"/>
    <cellStyle name="_FM_20080514_v1_MRA freez 2" xfId="27" xr:uid="{00000000-0005-0000-0000-00001A000000}"/>
    <cellStyle name="_Formblätter" xfId="28" xr:uid="{00000000-0005-0000-0000-00001B000000}"/>
    <cellStyle name="_Formblätter 2" xfId="29" xr:uid="{00000000-0005-0000-0000-00001C000000}"/>
    <cellStyle name="_M6ms_Tolna Consortium_Final Financial Model_FC_160708_sponsors" xfId="30" xr:uid="{00000000-0005-0000-0000-00001D000000}"/>
    <cellStyle name="_M6ms_Tolna Consortium_Final Financial Model_FC_160708_sponsors 2" xfId="31" xr:uid="{00000000-0005-0000-0000-00001E000000}"/>
    <cellStyle name="_M6ms_Tolna Consortium_Final Financial Model_Refi_310708_AF Schedules" xfId="32" xr:uid="{00000000-0005-0000-0000-00001F000000}"/>
    <cellStyle name="_M6ms_Tolna Consortium_Final Financial Model_Refi_310708_AF Schedules 2" xfId="33" xr:uid="{00000000-0005-0000-0000-000020000000}"/>
    <cellStyle name="_Oldham Proforma_LM" xfId="34" xr:uid="{00000000-0005-0000-0000-000021000000}"/>
    <cellStyle name="_RES" xfId="35" xr:uid="{00000000-0005-0000-0000-000022000000}"/>
    <cellStyle name="_RES 2" xfId="36" xr:uid="{00000000-0005-0000-0000-000023000000}"/>
    <cellStyle name="_SA Lifecycle Inputs" xfId="37" xr:uid="{00000000-0005-0000-0000-000024000000}"/>
    <cellStyle name="˙˙˙˙˙˙˙˙˙˙˙˙˙˙˙˙˙˙˙˙˙˙˙˙˙˙˙˙˙˙˙˙˙˙˙˙˙˙˙˙˙_x0008_" xfId="38" xr:uid="{00000000-0005-0000-0000-000025000000}"/>
    <cellStyle name="˙˙˙˙˙˙˙˙˙˙˙˙˙˙˙˙˙˙˙˙˙˙˙˙˙˙˙˙˙˙˙˙˙˙˙˙˙˙˙˙˙_x0008_ 2" xfId="39" xr:uid="{00000000-0005-0000-0000-000026000000}"/>
    <cellStyle name="=C:\WINNT35\SYSTEM32\COMMAND.COM" xfId="40" xr:uid="{00000000-0005-0000-0000-000027000000}"/>
    <cellStyle name="=C:\WINNT35\SYSTEM32\COMMAND.COM 2" xfId="41" xr:uid="{00000000-0005-0000-0000-000028000000}"/>
    <cellStyle name="=C:\WINNT35\SYSTEM32\COMMAND.COM 3" xfId="42" xr:uid="{00000000-0005-0000-0000-000029000000}"/>
    <cellStyle name="1" xfId="43" xr:uid="{00000000-0005-0000-0000-00002A000000}"/>
    <cellStyle name="20% - Accent1 2" xfId="44" xr:uid="{00000000-0005-0000-0000-00002B000000}"/>
    <cellStyle name="20% - Accent2 2" xfId="45" xr:uid="{00000000-0005-0000-0000-00002C000000}"/>
    <cellStyle name="20% - Accent3 2" xfId="46" xr:uid="{00000000-0005-0000-0000-00002D000000}"/>
    <cellStyle name="20% - Accent4 2" xfId="47" xr:uid="{00000000-0005-0000-0000-00002E000000}"/>
    <cellStyle name="20% - Accent5 2" xfId="48" xr:uid="{00000000-0005-0000-0000-00002F000000}"/>
    <cellStyle name="20% - Accent6 2" xfId="49" xr:uid="{00000000-0005-0000-0000-000030000000}"/>
    <cellStyle name="20% - Akzent1" xfId="50" xr:uid="{00000000-0005-0000-0000-000031000000}"/>
    <cellStyle name="20% - Akzent2" xfId="51" xr:uid="{00000000-0005-0000-0000-000032000000}"/>
    <cellStyle name="20% - Akzent3" xfId="52" xr:uid="{00000000-0005-0000-0000-000033000000}"/>
    <cellStyle name="20% - Akzent4" xfId="53" xr:uid="{00000000-0005-0000-0000-000034000000}"/>
    <cellStyle name="20% - Akzent5" xfId="54" xr:uid="{00000000-0005-0000-0000-000035000000}"/>
    <cellStyle name="20% - Akzent6" xfId="55" xr:uid="{00000000-0005-0000-0000-000036000000}"/>
    <cellStyle name="40% - Accent1 2" xfId="56" xr:uid="{00000000-0005-0000-0000-000037000000}"/>
    <cellStyle name="40% - Accent2 2" xfId="57" xr:uid="{00000000-0005-0000-0000-000038000000}"/>
    <cellStyle name="40% - Accent3 2" xfId="58" xr:uid="{00000000-0005-0000-0000-000039000000}"/>
    <cellStyle name="40% - Accent4 2" xfId="59" xr:uid="{00000000-0005-0000-0000-00003A000000}"/>
    <cellStyle name="40% - Accent5 2" xfId="60" xr:uid="{00000000-0005-0000-0000-00003B000000}"/>
    <cellStyle name="40% - Accent6 2" xfId="61" xr:uid="{00000000-0005-0000-0000-00003C000000}"/>
    <cellStyle name="40% - Akzent1" xfId="62" xr:uid="{00000000-0005-0000-0000-00003D000000}"/>
    <cellStyle name="40% - Akzent2" xfId="63" xr:uid="{00000000-0005-0000-0000-00003E000000}"/>
    <cellStyle name="40% - Akzent3" xfId="64" xr:uid="{00000000-0005-0000-0000-00003F000000}"/>
    <cellStyle name="40% - Akzent4" xfId="65" xr:uid="{00000000-0005-0000-0000-000040000000}"/>
    <cellStyle name="40% - Akzent5" xfId="66" xr:uid="{00000000-0005-0000-0000-000041000000}"/>
    <cellStyle name="40% - Akzent6" xfId="67" xr:uid="{00000000-0005-0000-0000-000042000000}"/>
    <cellStyle name="60% - Accent1 2" xfId="68" xr:uid="{00000000-0005-0000-0000-000043000000}"/>
    <cellStyle name="60% - Accent2 2" xfId="69" xr:uid="{00000000-0005-0000-0000-000044000000}"/>
    <cellStyle name="60% - Accent3 2" xfId="70" xr:uid="{00000000-0005-0000-0000-000045000000}"/>
    <cellStyle name="60% - Accent4 2" xfId="71" xr:uid="{00000000-0005-0000-0000-000046000000}"/>
    <cellStyle name="60% - Accent5 2" xfId="72" xr:uid="{00000000-0005-0000-0000-000047000000}"/>
    <cellStyle name="60% - Accent6 2" xfId="73" xr:uid="{00000000-0005-0000-0000-000048000000}"/>
    <cellStyle name="60% - Akzent1" xfId="74" xr:uid="{00000000-0005-0000-0000-000049000000}"/>
    <cellStyle name="60% - Akzent2" xfId="75" xr:uid="{00000000-0005-0000-0000-00004A000000}"/>
    <cellStyle name="60% - Akzent3" xfId="76" xr:uid="{00000000-0005-0000-0000-00004B000000}"/>
    <cellStyle name="60% - Akzent4" xfId="77" xr:uid="{00000000-0005-0000-0000-00004C000000}"/>
    <cellStyle name="60% - Akzent5" xfId="78" xr:uid="{00000000-0005-0000-0000-00004D000000}"/>
    <cellStyle name="60% - Akzent6" xfId="79" xr:uid="{00000000-0005-0000-0000-00004E000000}"/>
    <cellStyle name="aaa" xfId="80" xr:uid="{00000000-0005-0000-0000-00004F000000}"/>
    <cellStyle name="Accent1 2" xfId="81" xr:uid="{00000000-0005-0000-0000-000050000000}"/>
    <cellStyle name="Accent2 2" xfId="82" xr:uid="{00000000-0005-0000-0000-000051000000}"/>
    <cellStyle name="Accent3 2" xfId="83" xr:uid="{00000000-0005-0000-0000-000052000000}"/>
    <cellStyle name="Accent4 2" xfId="84" xr:uid="{00000000-0005-0000-0000-000053000000}"/>
    <cellStyle name="Accent5 2" xfId="85" xr:uid="{00000000-0005-0000-0000-000054000000}"/>
    <cellStyle name="Accent6 2" xfId="86" xr:uid="{00000000-0005-0000-0000-000055000000}"/>
    <cellStyle name="Akzent1" xfId="87" xr:uid="{00000000-0005-0000-0000-000056000000}"/>
    <cellStyle name="Akzent2" xfId="88" xr:uid="{00000000-0005-0000-0000-000057000000}"/>
    <cellStyle name="Akzent3" xfId="89" xr:uid="{00000000-0005-0000-0000-000058000000}"/>
    <cellStyle name="Akzent4" xfId="90" xr:uid="{00000000-0005-0000-0000-000059000000}"/>
    <cellStyle name="Akzent5" xfId="91" xr:uid="{00000000-0005-0000-0000-00005A000000}"/>
    <cellStyle name="Akzent6" xfId="92" xr:uid="{00000000-0005-0000-0000-00005B000000}"/>
    <cellStyle name="articolo" xfId="93" xr:uid="{00000000-0005-0000-0000-00005C000000}"/>
    <cellStyle name="Ausgabe" xfId="94" xr:uid="{00000000-0005-0000-0000-00005D000000}"/>
    <cellStyle name="Availability" xfId="95" xr:uid="{00000000-0005-0000-0000-00005E000000}"/>
    <cellStyle name="Background" xfId="96" xr:uid="{00000000-0005-0000-0000-00005F000000}"/>
    <cellStyle name="Bad 2" xfId="97" xr:uid="{00000000-0005-0000-0000-000060000000}"/>
    <cellStyle name="banner" xfId="98" xr:uid="{00000000-0005-0000-0000-000061000000}"/>
    <cellStyle name="Berechnung" xfId="99" xr:uid="{00000000-0005-0000-0000-000062000000}"/>
    <cellStyle name="BPC %" xfId="100" xr:uid="{00000000-0005-0000-0000-000063000000}"/>
    <cellStyle name="BPC abs" xfId="101" xr:uid="{00000000-0005-0000-0000-000064000000}"/>
    <cellStyle name="BPC Input %" xfId="102" xr:uid="{00000000-0005-0000-0000-000065000000}"/>
    <cellStyle name="BPC Input abs" xfId="103" xr:uid="{00000000-0005-0000-0000-000066000000}"/>
    <cellStyle name="Brackets 0" xfId="104" xr:uid="{00000000-0005-0000-0000-000067000000}"/>
    <cellStyle name="Brackets 0 2" xfId="105" xr:uid="{00000000-0005-0000-0000-000068000000}"/>
    <cellStyle name="Brackets T's 1" xfId="106" xr:uid="{00000000-0005-0000-0000-000069000000}"/>
    <cellStyle name="brakcomma" xfId="107" xr:uid="{00000000-0005-0000-0000-00006A000000}"/>
    <cellStyle name="brakcomma 2" xfId="108" xr:uid="{00000000-0005-0000-0000-00006B000000}"/>
    <cellStyle name="calc" xfId="109" xr:uid="{00000000-0005-0000-0000-00006C000000}"/>
    <cellStyle name="CALC Amount" xfId="110" xr:uid="{00000000-0005-0000-0000-00006D000000}"/>
    <cellStyle name="CALC Amount [1]" xfId="111" xr:uid="{00000000-0005-0000-0000-00006E000000}"/>
    <cellStyle name="CALC Amount [2]" xfId="112" xr:uid="{00000000-0005-0000-0000-00006F000000}"/>
    <cellStyle name="CALC Amount Total" xfId="113" xr:uid="{00000000-0005-0000-0000-000070000000}"/>
    <cellStyle name="CALC Amount Total [1]" xfId="114" xr:uid="{00000000-0005-0000-0000-000071000000}"/>
    <cellStyle name="CALC Amount Total [2]" xfId="115" xr:uid="{00000000-0005-0000-0000-000072000000}"/>
    <cellStyle name="CALC Currency" xfId="116" xr:uid="{00000000-0005-0000-0000-000073000000}"/>
    <cellStyle name="CALC Currency [1]" xfId="117" xr:uid="{00000000-0005-0000-0000-000074000000}"/>
    <cellStyle name="CALC Currency [2]" xfId="118" xr:uid="{00000000-0005-0000-0000-000075000000}"/>
    <cellStyle name="CALC Currency Total" xfId="119" xr:uid="{00000000-0005-0000-0000-000076000000}"/>
    <cellStyle name="CALC Currency Total [1]" xfId="120" xr:uid="{00000000-0005-0000-0000-000077000000}"/>
    <cellStyle name="CALC Currency Total [2]" xfId="121" xr:uid="{00000000-0005-0000-0000-000078000000}"/>
    <cellStyle name="CALC Date Long" xfId="122" xr:uid="{00000000-0005-0000-0000-000079000000}"/>
    <cellStyle name="CALC Date Short" xfId="123" xr:uid="{00000000-0005-0000-0000-00007A000000}"/>
    <cellStyle name="CALC Percent" xfId="124" xr:uid="{00000000-0005-0000-0000-00007B000000}"/>
    <cellStyle name="CALC Percent [1]" xfId="125" xr:uid="{00000000-0005-0000-0000-00007C000000}"/>
    <cellStyle name="CALC Percent [2]" xfId="126" xr:uid="{00000000-0005-0000-0000-00007D000000}"/>
    <cellStyle name="CALC Percent Total" xfId="127" xr:uid="{00000000-0005-0000-0000-00007E000000}"/>
    <cellStyle name="CALC Percent Total [1]" xfId="128" xr:uid="{00000000-0005-0000-0000-00007F000000}"/>
    <cellStyle name="CALC Percent Total [2]" xfId="129" xr:uid="{00000000-0005-0000-0000-000080000000}"/>
    <cellStyle name="calculated" xfId="130" xr:uid="{00000000-0005-0000-0000-000081000000}"/>
    <cellStyle name="Calculation 2" xfId="131" xr:uid="{00000000-0005-0000-0000-000082000000}"/>
    <cellStyle name="Cambiar to&amp;do" xfId="132" xr:uid="{00000000-0005-0000-0000-000083000000}"/>
    <cellStyle name="Celkem" xfId="133" xr:uid="{00000000-0005-0000-0000-000084000000}"/>
    <cellStyle name="Check Cell 2" xfId="139" xr:uid="{00000000-0005-0000-0000-000085000000}"/>
    <cellStyle name="Comma 2" xfId="135" xr:uid="{00000000-0005-0000-0000-000087000000}"/>
    <cellStyle name="Comma 2 2" xfId="136" xr:uid="{00000000-0005-0000-0000-000088000000}"/>
    <cellStyle name="Comma 3" xfId="137" xr:uid="{00000000-0005-0000-0000-000089000000}"/>
    <cellStyle name="Constant (do not change)" xfId="138" xr:uid="{00000000-0005-0000-0000-00008A000000}"/>
    <cellStyle name="DATA Amount" xfId="140" xr:uid="{00000000-0005-0000-0000-00008B000000}"/>
    <cellStyle name="DATA Amount [1]" xfId="141" xr:uid="{00000000-0005-0000-0000-00008C000000}"/>
    <cellStyle name="DATA Amount [2]" xfId="142" xr:uid="{00000000-0005-0000-0000-00008D000000}"/>
    <cellStyle name="DATA Currency" xfId="143" xr:uid="{00000000-0005-0000-0000-00008E000000}"/>
    <cellStyle name="DATA Currency [1]" xfId="144" xr:uid="{00000000-0005-0000-0000-00008F000000}"/>
    <cellStyle name="DATA Currency [2]" xfId="145" xr:uid="{00000000-0005-0000-0000-000090000000}"/>
    <cellStyle name="DATA Date Long" xfId="146" xr:uid="{00000000-0005-0000-0000-000091000000}"/>
    <cellStyle name="DATA Date Short" xfId="147" xr:uid="{00000000-0005-0000-0000-000092000000}"/>
    <cellStyle name="DATA List" xfId="148" xr:uid="{00000000-0005-0000-0000-000093000000}"/>
    <cellStyle name="DATA Memo" xfId="149" xr:uid="{00000000-0005-0000-0000-000094000000}"/>
    <cellStyle name="DATA Percent" xfId="150" xr:uid="{00000000-0005-0000-0000-000095000000}"/>
    <cellStyle name="DATA Percent [1]" xfId="151" xr:uid="{00000000-0005-0000-0000-000096000000}"/>
    <cellStyle name="DATA Percent [2]" xfId="152" xr:uid="{00000000-0005-0000-0000-000097000000}"/>
    <cellStyle name="DATA Text" xfId="153" xr:uid="{00000000-0005-0000-0000-000098000000}"/>
    <cellStyle name="DATA Version" xfId="154" xr:uid="{00000000-0005-0000-0000-000099000000}"/>
    <cellStyle name="data_3000" xfId="155" xr:uid="{00000000-0005-0000-0000-00009A000000}"/>
    <cellStyle name="date" xfId="156" xr:uid="{00000000-0005-0000-0000-00009B000000}"/>
    <cellStyle name="DateModel" xfId="157" xr:uid="{00000000-0005-0000-0000-00009C000000}"/>
    <cellStyle name="DatePeriodic" xfId="158" xr:uid="{00000000-0005-0000-0000-00009D000000}"/>
    <cellStyle name="datetime" xfId="159" xr:uid="{00000000-0005-0000-0000-00009E000000}"/>
    <cellStyle name="Datum" xfId="160" xr:uid="{00000000-0005-0000-0000-00009F000000}"/>
    <cellStyle name="descrizione" xfId="161" xr:uid="{00000000-0005-0000-0000-0000A0000000}"/>
    <cellStyle name="descrizione 2" xfId="162" xr:uid="{00000000-0005-0000-0000-0000A1000000}"/>
    <cellStyle name="descrizione articolo" xfId="163" xr:uid="{00000000-0005-0000-0000-0000A2000000}"/>
    <cellStyle name="Dezimal_Revenue Interface" xfId="164" xr:uid="{00000000-0005-0000-0000-0000A3000000}"/>
    <cellStyle name="Eingabe" xfId="165" xr:uid="{00000000-0005-0000-0000-0000A4000000}"/>
    <cellStyle name="Encabezado" xfId="166" xr:uid="{00000000-0005-0000-0000-0000A5000000}"/>
    <cellStyle name="Énfasis1" xfId="167" xr:uid="{00000000-0005-0000-0000-0000A6000000}"/>
    <cellStyle name="Ergebnis" xfId="168" xr:uid="{00000000-0005-0000-0000-0000A7000000}"/>
    <cellStyle name="Erklärender Text" xfId="169" xr:uid="{00000000-0005-0000-0000-0000A8000000}"/>
    <cellStyle name="Euro" xfId="170" xr:uid="{00000000-0005-0000-0000-0000A9000000}"/>
    <cellStyle name="Euro 2" xfId="171" xr:uid="{00000000-0005-0000-0000-0000AA000000}"/>
    <cellStyle name="Euro 2 2" xfId="172" xr:uid="{00000000-0005-0000-0000-0000AB000000}"/>
    <cellStyle name="Euro_Generic Swap" xfId="173" xr:uid="{00000000-0005-0000-0000-0000AC000000}"/>
    <cellStyle name="Explanatory Text 2" xfId="174" xr:uid="{00000000-0005-0000-0000-0000AD000000}"/>
    <cellStyle name="EY House" xfId="175" xr:uid="{00000000-0005-0000-0000-0000AE000000}"/>
    <cellStyle name="Finanční0" xfId="176" xr:uid="{00000000-0005-0000-0000-0000AF000000}"/>
    <cellStyle name="Good 2" xfId="177" xr:uid="{00000000-0005-0000-0000-0000B0000000}"/>
    <cellStyle name="Gut" xfId="178" xr:uid="{00000000-0005-0000-0000-0000B1000000}"/>
    <cellStyle name="Header" xfId="179" xr:uid="{00000000-0005-0000-0000-0000B2000000}"/>
    <cellStyle name="Heading 1 2" xfId="180" xr:uid="{00000000-0005-0000-0000-0000B3000000}"/>
    <cellStyle name="Heading 2 2" xfId="181" xr:uid="{00000000-0005-0000-0000-0000B4000000}"/>
    <cellStyle name="Heading 3 2" xfId="182" xr:uid="{00000000-0005-0000-0000-0000B5000000}"/>
    <cellStyle name="Heading 4 2" xfId="183" xr:uid="{00000000-0005-0000-0000-0000B6000000}"/>
    <cellStyle name="Hidden" xfId="184" xr:uid="{00000000-0005-0000-0000-0000B7000000}"/>
    <cellStyle name="HSBC Percent" xfId="185" xr:uid="{00000000-0005-0000-0000-0000B8000000}"/>
    <cellStyle name="HSBC Percent 2" xfId="186" xr:uid="{00000000-0005-0000-0000-0000B9000000}"/>
    <cellStyle name="HSBC Ratio" xfId="187" xr:uid="{00000000-0005-0000-0000-0000BA000000}"/>
    <cellStyle name="HSBC Ratio 2" xfId="188" xr:uid="{00000000-0005-0000-0000-0000BB000000}"/>
    <cellStyle name="importo" xfId="189" xr:uid="{00000000-0005-0000-0000-0000BC000000}"/>
    <cellStyle name="Input 2" xfId="190" xr:uid="{00000000-0005-0000-0000-0000BD000000}"/>
    <cellStyle name="Input%" xfId="191" xr:uid="{00000000-0005-0000-0000-0000BE000000}"/>
    <cellStyle name="InputDate" xfId="192" xr:uid="{00000000-0005-0000-0000-0000BF000000}"/>
    <cellStyle name="InputDecimal" xfId="193" xr:uid="{00000000-0005-0000-0000-0000C0000000}"/>
    <cellStyle name="InputValue" xfId="194" xr:uid="{00000000-0005-0000-0000-0000C1000000}"/>
    <cellStyle name="KPMG Heading 1" xfId="195" xr:uid="{00000000-0005-0000-0000-0000C2000000}"/>
    <cellStyle name="KPMG Heading 2" xfId="196" xr:uid="{00000000-0005-0000-0000-0000C3000000}"/>
    <cellStyle name="KPMG Heading 3" xfId="197" xr:uid="{00000000-0005-0000-0000-0000C4000000}"/>
    <cellStyle name="KPMG Heading 4" xfId="198" xr:uid="{00000000-0005-0000-0000-0000C5000000}"/>
    <cellStyle name="KPMG Normal" xfId="199" xr:uid="{00000000-0005-0000-0000-0000C6000000}"/>
    <cellStyle name="KPMG Normal Text" xfId="200" xr:uid="{00000000-0005-0000-0000-0000C7000000}"/>
    <cellStyle name="Label" xfId="201" xr:uid="{00000000-0005-0000-0000-0000C8000000}"/>
    <cellStyle name="LABEL Normal" xfId="202" xr:uid="{00000000-0005-0000-0000-0000C9000000}"/>
    <cellStyle name="LABEL Note" xfId="203" xr:uid="{00000000-0005-0000-0000-0000CA000000}"/>
    <cellStyle name="LABEL Units" xfId="204" xr:uid="{00000000-0005-0000-0000-0000CB000000}"/>
    <cellStyle name="Lauren" xfId="205" xr:uid="{00000000-0005-0000-0000-0000CC000000}"/>
    <cellStyle name="Lauren 2" xfId="206" xr:uid="{00000000-0005-0000-0000-0000CD000000}"/>
    <cellStyle name="Linked Cell 2" xfId="207" xr:uid="{00000000-0005-0000-0000-0000CE000000}"/>
    <cellStyle name="main_input" xfId="208" xr:uid="{00000000-0005-0000-0000-0000CF000000}"/>
    <cellStyle name="Měna0" xfId="209" xr:uid="{00000000-0005-0000-0000-0000D0000000}"/>
    <cellStyle name="Migliaia (0)_ANPRE" xfId="210" xr:uid="{00000000-0005-0000-0000-0000D1000000}"/>
    <cellStyle name="Millares" xfId="134" builtinId="3"/>
    <cellStyle name="misure" xfId="211" xr:uid="{00000000-0005-0000-0000-0000D4000000}"/>
    <cellStyle name="misure 2" xfId="212" xr:uid="{00000000-0005-0000-0000-0000D5000000}"/>
    <cellStyle name="misure totali" xfId="213" xr:uid="{00000000-0005-0000-0000-0000D6000000}"/>
    <cellStyle name="n" xfId="214" xr:uid="{00000000-0005-0000-0000-0000D9000000}"/>
    <cellStyle name="Neutral 2" xfId="215" xr:uid="{00000000-0005-0000-0000-0000DA000000}"/>
    <cellStyle name="No-definido" xfId="216" xr:uid="{00000000-0005-0000-0000-0000DB000000}"/>
    <cellStyle name="Normal" xfId="0" builtinId="0"/>
    <cellStyle name="Normal - Style1" xfId="217" xr:uid="{00000000-0005-0000-0000-0000DD000000}"/>
    <cellStyle name="Normal 2" xfId="218" xr:uid="{00000000-0005-0000-0000-0000DE000000}"/>
    <cellStyle name="Normal 2 2" xfId="219" xr:uid="{00000000-0005-0000-0000-0000DF000000}"/>
    <cellStyle name="Normal 2 2 2" xfId="220" xr:uid="{00000000-0005-0000-0000-0000E0000000}"/>
    <cellStyle name="Normal 2 3" xfId="221" xr:uid="{00000000-0005-0000-0000-0000E1000000}"/>
    <cellStyle name="Normal 2 3 2" xfId="222" xr:uid="{00000000-0005-0000-0000-0000E2000000}"/>
    <cellStyle name="Normal 2 4" xfId="223" xr:uid="{00000000-0005-0000-0000-0000E3000000}"/>
    <cellStyle name="Normal 2 4 2" xfId="224" xr:uid="{00000000-0005-0000-0000-0000E4000000}"/>
    <cellStyle name="Normal 2 5" xfId="225" xr:uid="{00000000-0005-0000-0000-0000E5000000}"/>
    <cellStyle name="Normal 2 5 2" xfId="226" xr:uid="{00000000-0005-0000-0000-0000E6000000}"/>
    <cellStyle name="Normal 2 6" xfId="227" xr:uid="{00000000-0005-0000-0000-0000E7000000}"/>
    <cellStyle name="Normal 3" xfId="228" xr:uid="{00000000-0005-0000-0000-0000E8000000}"/>
    <cellStyle name="Normal 4" xfId="229" xr:uid="{00000000-0005-0000-0000-0000E9000000}"/>
    <cellStyle name="Normal 4 2" xfId="230" xr:uid="{00000000-0005-0000-0000-0000EA000000}"/>
    <cellStyle name="Normal 5" xfId="231" xr:uid="{00000000-0005-0000-0000-0000EB000000}"/>
    <cellStyle name="Normál_0427_Paks-Szekszárd_építményjegyzék_2007_11_29" xfId="232" xr:uid="{00000000-0005-0000-0000-0000EC000000}"/>
    <cellStyle name="Normale 2" xfId="233" xr:uid="{00000000-0005-0000-0000-0000ED000000}"/>
    <cellStyle name="Normale 2 2" xfId="234" xr:uid="{00000000-0005-0000-0000-0000EE000000}"/>
    <cellStyle name="Normale 2 2 2" xfId="235" xr:uid="{00000000-0005-0000-0000-0000EF000000}"/>
    <cellStyle name="Normale 2_Hull_WhiteIRCred" xfId="236" xr:uid="{00000000-0005-0000-0000-0000F0000000}"/>
    <cellStyle name="Note 2" xfId="237" xr:uid="{00000000-0005-0000-0000-0000F1000000}"/>
    <cellStyle name="Notiz" xfId="238" xr:uid="{00000000-0005-0000-0000-0000F2000000}"/>
    <cellStyle name="Notiz 2" xfId="239" xr:uid="{00000000-0005-0000-0000-0000F3000000}"/>
    <cellStyle name="Number" xfId="240" xr:uid="{00000000-0005-0000-0000-0000F4000000}"/>
    <cellStyle name="numero" xfId="241" xr:uid="{00000000-0005-0000-0000-0000F5000000}"/>
    <cellStyle name="OLELink" xfId="242" xr:uid="{00000000-0005-0000-0000-0000F6000000}"/>
    <cellStyle name="Operis date" xfId="243" xr:uid="{00000000-0005-0000-0000-0000F7000000}"/>
    <cellStyle name="Operis ratio" xfId="244" xr:uid="{00000000-0005-0000-0000-0000F8000000}"/>
    <cellStyle name="OperisBase" xfId="245" xr:uid="{00000000-0005-0000-0000-0000F9000000}"/>
    <cellStyle name="OperisMoney" xfId="246" xr:uid="{00000000-0005-0000-0000-0000FA000000}"/>
    <cellStyle name="OperisPercent" xfId="247" xr:uid="{00000000-0005-0000-0000-0000FB000000}"/>
    <cellStyle name="OperisRatio" xfId="248" xr:uid="{00000000-0005-0000-0000-0000FC000000}"/>
    <cellStyle name="Output 2" xfId="249" xr:uid="{00000000-0005-0000-0000-0000FD000000}"/>
    <cellStyle name="Percent 2" xfId="251" xr:uid="{00000000-0005-0000-0000-0000FF000000}"/>
    <cellStyle name="Percent 2 2" xfId="252" xr:uid="{00000000-0005-0000-0000-000000010000}"/>
    <cellStyle name="Percent 3" xfId="253" xr:uid="{00000000-0005-0000-0000-000001010000}"/>
    <cellStyle name="Percent 4" xfId="254" xr:uid="{00000000-0005-0000-0000-000002010000}"/>
    <cellStyle name="percnt" xfId="255" xr:uid="{00000000-0005-0000-0000-000003010000}"/>
    <cellStyle name="percnt 2" xfId="256" xr:uid="{00000000-0005-0000-0000-000004010000}"/>
    <cellStyle name="Pevný" xfId="257" xr:uid="{00000000-0005-0000-0000-000005010000}"/>
    <cellStyle name="Porcentaje" xfId="250" builtinId="5"/>
    <cellStyle name="prezzo unitario" xfId="258" xr:uid="{00000000-0005-0000-0000-000006010000}"/>
    <cellStyle name="realtime" xfId="259" xr:uid="{00000000-0005-0000-0000-000007010000}"/>
    <cellStyle name="result" xfId="260" xr:uid="{00000000-0005-0000-0000-000008010000}"/>
    <cellStyle name="rt" xfId="261" xr:uid="{00000000-0005-0000-0000-000009010000}"/>
    <cellStyle name="Schlecht" xfId="262" xr:uid="{00000000-0005-0000-0000-00000A010000}"/>
    <cellStyle name="Standard_060520 Cost input template2_Änderung_Bau_HM_OM" xfId="263" xr:uid="{00000000-0005-0000-0000-00000B010000}"/>
    <cellStyle name="static" xfId="264" xr:uid="{00000000-0005-0000-0000-00000C010000}"/>
    <cellStyle name="Std_%" xfId="265" xr:uid="{00000000-0005-0000-0000-00000D010000}"/>
    <cellStyle name="Style 1" xfId="266" xr:uid="{00000000-0005-0000-0000-00000E010000}"/>
    <cellStyle name="Style 1 2" xfId="267" xr:uid="{00000000-0005-0000-0000-00000F010000}"/>
    <cellStyle name="SYSTEM" xfId="268" xr:uid="{00000000-0005-0000-0000-000010010000}"/>
    <cellStyle name="T1" xfId="269" xr:uid="{00000000-0005-0000-0000-000011010000}"/>
    <cellStyle name="text" xfId="270" xr:uid="{00000000-0005-0000-0000-000012010000}"/>
    <cellStyle name="TIME Detail" xfId="271" xr:uid="{00000000-0005-0000-0000-000013010000}"/>
    <cellStyle name="TIME Period Start" xfId="272" xr:uid="{00000000-0005-0000-0000-000014010000}"/>
    <cellStyle name="Title 2" xfId="273" xr:uid="{00000000-0005-0000-0000-000015010000}"/>
    <cellStyle name="Total 2" xfId="274" xr:uid="{00000000-0005-0000-0000-000016010000}"/>
    <cellStyle name="u.m. articolo" xfId="275" xr:uid="{00000000-0005-0000-0000-000017010000}"/>
    <cellStyle name="Überschrift" xfId="276" xr:uid="{00000000-0005-0000-0000-000018010000}"/>
    <cellStyle name="Überschrift 1" xfId="277" xr:uid="{00000000-0005-0000-0000-000019010000}"/>
    <cellStyle name="Überschrift 2" xfId="278" xr:uid="{00000000-0005-0000-0000-00001A010000}"/>
    <cellStyle name="Überschrift 3" xfId="279" xr:uid="{00000000-0005-0000-0000-00001B010000}"/>
    <cellStyle name="Überschrift 4" xfId="280" xr:uid="{00000000-0005-0000-0000-00001C010000}"/>
    <cellStyle name="unità di misura" xfId="281" xr:uid="{00000000-0005-0000-0000-00001D010000}"/>
    <cellStyle name="unità di misura 2" xfId="282" xr:uid="{00000000-0005-0000-0000-00001E010000}"/>
    <cellStyle name="UserInput_WillContribute" xfId="283" xr:uid="{00000000-0005-0000-0000-00001F010000}"/>
    <cellStyle name="Valuta (0)_analisi costi tecnologici e edili  NIGUARDA" xfId="284" xr:uid="{00000000-0005-0000-0000-000020010000}"/>
    <cellStyle name="Verknüpfte Zelle" xfId="285" xr:uid="{00000000-0005-0000-0000-000021010000}"/>
    <cellStyle name="Währung €" xfId="286" xr:uid="{00000000-0005-0000-0000-000022010000}"/>
    <cellStyle name="Währung € 2" xfId="287" xr:uid="{00000000-0005-0000-0000-000023010000}"/>
    <cellStyle name="Währung DM" xfId="288" xr:uid="{00000000-0005-0000-0000-000024010000}"/>
    <cellStyle name="Währung DM 2" xfId="289" xr:uid="{00000000-0005-0000-0000-000025010000}"/>
    <cellStyle name="Warnender Text" xfId="290" xr:uid="{00000000-0005-0000-0000-000026010000}"/>
    <cellStyle name="Warning Text 2" xfId="291" xr:uid="{00000000-0005-0000-0000-000027010000}"/>
    <cellStyle name="Záhlaví 1" xfId="292" xr:uid="{00000000-0005-0000-0000-000028010000}"/>
    <cellStyle name="Záhlaví 2" xfId="293" xr:uid="{00000000-0005-0000-0000-000029010000}"/>
    <cellStyle name="Zelle überprüfen" xfId="294" xr:uid="{00000000-0005-0000-0000-00002A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</xdr:row>
          <xdr:rowOff>114300</xdr:rowOff>
        </xdr:from>
        <xdr:to>
          <xdr:col>8</xdr:col>
          <xdr:colOff>1209675</xdr:colOff>
          <xdr:row>2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2:K686"/>
  <sheetViews>
    <sheetView showGridLines="0" tabSelected="1" workbookViewId="0">
      <selection activeCell="G10" sqref="G10"/>
    </sheetView>
  </sheetViews>
  <sheetFormatPr baseColWidth="10" defaultColWidth="9.140625" defaultRowHeight="15"/>
  <cols>
    <col min="2" max="2" width="12.7109375" bestFit="1" customWidth="1"/>
    <col min="3" max="3" width="12" bestFit="1" customWidth="1"/>
    <col min="5" max="5" width="14.7109375" bestFit="1" customWidth="1"/>
    <col min="6" max="6" width="12.7109375" bestFit="1" customWidth="1"/>
    <col min="7" max="8" width="16.28515625" customWidth="1"/>
    <col min="9" max="9" width="19.42578125" bestFit="1" customWidth="1"/>
    <col min="10" max="10" width="19.42578125" customWidth="1"/>
    <col min="11" max="11" width="18.42578125" bestFit="1" customWidth="1"/>
  </cols>
  <sheetData>
    <row r="2" spans="2:11" ht="15.75" thickBot="1">
      <c r="B2" s="5" t="s">
        <v>9</v>
      </c>
      <c r="E2" s="5" t="s">
        <v>10</v>
      </c>
    </row>
    <row r="3" spans="2:11" ht="15.75" thickBot="1">
      <c r="B3" s="1" t="s">
        <v>5</v>
      </c>
      <c r="C3" s="4">
        <v>0.1</v>
      </c>
      <c r="E3" s="18" t="s">
        <v>5</v>
      </c>
      <c r="F3" s="19">
        <v>0.1</v>
      </c>
    </row>
    <row r="4" spans="2:11" ht="15.75" thickBot="1">
      <c r="B4" s="2" t="s">
        <v>6</v>
      </c>
      <c r="C4" s="8">
        <v>0.05</v>
      </c>
      <c r="E4" s="20" t="s">
        <v>6</v>
      </c>
      <c r="F4" s="21">
        <v>0.08</v>
      </c>
      <c r="I4" s="12" t="s">
        <v>15</v>
      </c>
      <c r="J4" s="14" t="s">
        <v>16</v>
      </c>
      <c r="K4" s="13"/>
    </row>
    <row r="5" spans="2:11">
      <c r="B5" s="2" t="s">
        <v>7</v>
      </c>
      <c r="C5" s="9">
        <v>5.0000000000000001E-3</v>
      </c>
      <c r="E5" s="20" t="s">
        <v>7</v>
      </c>
      <c r="F5" s="22">
        <v>6.0000000000000001E-3</v>
      </c>
      <c r="I5" s="45">
        <v>11842.971001982285</v>
      </c>
      <c r="J5" s="46">
        <v>302.54703313093523</v>
      </c>
      <c r="K5" s="11"/>
    </row>
    <row r="6" spans="2:11" ht="15.75" thickBot="1">
      <c r="B6" s="3" t="s">
        <v>0</v>
      </c>
      <c r="C6" s="10">
        <v>0.05</v>
      </c>
      <c r="E6" s="20" t="s">
        <v>0</v>
      </c>
      <c r="F6" s="21">
        <v>0.06</v>
      </c>
      <c r="H6" s="41"/>
      <c r="I6" s="16" t="s">
        <v>8</v>
      </c>
      <c r="J6" s="15" t="s">
        <v>17</v>
      </c>
      <c r="K6" s="11" t="s">
        <v>4</v>
      </c>
    </row>
    <row r="7" spans="2:11" ht="15.75" thickBot="1">
      <c r="E7" s="23" t="s">
        <v>19</v>
      </c>
      <c r="F7" s="47">
        <v>-0.99</v>
      </c>
      <c r="I7" s="16">
        <v>43657</v>
      </c>
      <c r="J7" s="15">
        <v>1.0000000000000937</v>
      </c>
      <c r="K7" s="11">
        <v>0</v>
      </c>
    </row>
    <row r="8" spans="2:11">
      <c r="H8" s="41"/>
      <c r="I8" s="16">
        <v>43667</v>
      </c>
      <c r="J8" s="15">
        <v>0.99863201115729383</v>
      </c>
      <c r="K8" s="11">
        <v>1.6426034857059483E-8</v>
      </c>
    </row>
    <row r="9" spans="2:11" ht="15.75" thickBot="1">
      <c r="B9" s="7" t="s">
        <v>1</v>
      </c>
      <c r="H9" s="41"/>
      <c r="I9" s="16">
        <v>43677</v>
      </c>
      <c r="J9" s="15">
        <v>0.99726589324033699</v>
      </c>
      <c r="K9" s="11">
        <v>1.6403564167991934E-8</v>
      </c>
    </row>
    <row r="10" spans="2:11" ht="15.75" thickBot="1">
      <c r="B10" s="30" t="s">
        <v>2</v>
      </c>
      <c r="C10" s="31">
        <v>10000</v>
      </c>
      <c r="H10" s="41"/>
      <c r="I10" s="16">
        <v>43688</v>
      </c>
      <c r="J10" s="15">
        <v>0.99576516504174784</v>
      </c>
      <c r="K10" s="11">
        <v>1.637887933143334E-8</v>
      </c>
    </row>
    <row r="11" spans="2:11" ht="15.75" thickBot="1">
      <c r="C11" s="6"/>
      <c r="H11" s="41"/>
      <c r="I11" s="16">
        <v>43698</v>
      </c>
      <c r="J11" s="15">
        <v>0.99440283304803467</v>
      </c>
      <c r="K11" s="11">
        <v>1.6356470974166E-8</v>
      </c>
    </row>
    <row r="12" spans="2:11" ht="15.75" thickBot="1">
      <c r="B12" s="30" t="s">
        <v>3</v>
      </c>
      <c r="C12" s="36">
        <v>43657</v>
      </c>
      <c r="F12" s="48">
        <v>0.99</v>
      </c>
      <c r="G12" s="45">
        <v>11297.353833605719</v>
      </c>
      <c r="H12" s="41"/>
      <c r="I12" s="16">
        <v>43708</v>
      </c>
      <c r="J12" s="15">
        <v>0.99304256694419879</v>
      </c>
      <c r="K12" s="11">
        <v>2.08442615037231E-6</v>
      </c>
    </row>
    <row r="13" spans="2:11">
      <c r="F13" s="48">
        <v>-0.99</v>
      </c>
      <c r="G13" s="45">
        <v>11842.971001982285</v>
      </c>
      <c r="H13" s="41"/>
      <c r="I13" s="16">
        <v>43718</v>
      </c>
      <c r="J13" s="15">
        <v>0.99168458781380209</v>
      </c>
      <c r="K13" s="11">
        <v>2.8046944456544415E-6</v>
      </c>
    </row>
    <row r="14" spans="2:11" ht="15.75" thickBot="1">
      <c r="B14" s="7" t="s">
        <v>11</v>
      </c>
      <c r="H14" s="41"/>
      <c r="I14" s="16">
        <v>43729</v>
      </c>
      <c r="J14" s="15">
        <v>0.99019313885886651</v>
      </c>
      <c r="K14" s="11">
        <v>3.6758468775077494E-6</v>
      </c>
    </row>
    <row r="15" spans="2:11" ht="15.75" thickBot="1">
      <c r="B15" s="32" t="s">
        <v>12</v>
      </c>
      <c r="C15" s="39" t="s">
        <v>13</v>
      </c>
      <c r="D15" s="39" t="s">
        <v>14</v>
      </c>
      <c r="E15" s="39" t="s">
        <v>20</v>
      </c>
      <c r="H15" s="41"/>
      <c r="I15" s="16">
        <v>43739</v>
      </c>
      <c r="J15" s="15">
        <v>0.98883936346960088</v>
      </c>
      <c r="K15" s="11">
        <v>4.5254169313688935E-6</v>
      </c>
    </row>
    <row r="16" spans="2:11" ht="15.75" thickBot="1">
      <c r="B16" s="40">
        <v>43749</v>
      </c>
      <c r="C16" s="42">
        <v>0.2</v>
      </c>
      <c r="D16" s="43">
        <v>1.2E-2</v>
      </c>
      <c r="E16" s="44">
        <v>1000000</v>
      </c>
      <c r="H16" s="41"/>
      <c r="I16" s="16">
        <v>43749</v>
      </c>
      <c r="J16" s="15">
        <v>0.98748749709794348</v>
      </c>
      <c r="K16" s="11">
        <v>5.4334186044429081E-6</v>
      </c>
    </row>
    <row r="17" spans="2:11">
      <c r="B17" s="37">
        <f>+B16+90</f>
        <v>43839</v>
      </c>
      <c r="C17" s="35"/>
      <c r="D17" s="34"/>
      <c r="H17" s="41"/>
      <c r="I17" s="16">
        <v>43759</v>
      </c>
      <c r="J17" s="15">
        <v>0.98613720869934218</v>
      </c>
      <c r="K17" s="11">
        <v>6.3856555693879307E-6</v>
      </c>
    </row>
    <row r="18" spans="2:11">
      <c r="B18" s="37">
        <f t="shared" ref="B18:B35" si="0">+B17+90</f>
        <v>43929</v>
      </c>
      <c r="C18" s="33"/>
      <c r="D18" s="34"/>
      <c r="H18" s="41"/>
      <c r="I18" s="16">
        <v>43769</v>
      </c>
      <c r="J18" s="15">
        <v>0.98478916450513421</v>
      </c>
      <c r="K18" s="11">
        <v>7.383025044577746E-6</v>
      </c>
    </row>
    <row r="19" spans="2:11">
      <c r="B19" s="37">
        <f t="shared" si="0"/>
        <v>44019</v>
      </c>
      <c r="C19" s="33"/>
      <c r="D19" s="34"/>
      <c r="H19" s="41"/>
      <c r="I19" s="16">
        <v>43779</v>
      </c>
      <c r="J19" s="15">
        <v>0.98344281548509571</v>
      </c>
      <c r="K19" s="11">
        <v>8.4213361617638725E-6</v>
      </c>
    </row>
    <row r="20" spans="2:11">
      <c r="B20" s="37">
        <f t="shared" si="0"/>
        <v>44109</v>
      </c>
      <c r="C20" s="33"/>
      <c r="D20" s="34"/>
      <c r="H20" s="41"/>
      <c r="I20" s="16">
        <v>43789</v>
      </c>
      <c r="J20" s="15">
        <v>0.98209826807807765</v>
      </c>
      <c r="K20" s="11">
        <v>9.5033819130077413E-6</v>
      </c>
    </row>
    <row r="21" spans="2:11">
      <c r="B21" s="37">
        <f t="shared" si="0"/>
        <v>44199</v>
      </c>
      <c r="C21" s="33"/>
      <c r="D21" s="34"/>
      <c r="H21" s="41"/>
      <c r="I21" s="16">
        <v>43799</v>
      </c>
      <c r="J21" s="15">
        <v>0.98075596811928989</v>
      </c>
      <c r="K21" s="11">
        <v>1.0625726375134636E-5</v>
      </c>
    </row>
    <row r="22" spans="2:11">
      <c r="B22" s="37">
        <f t="shared" si="0"/>
        <v>44289</v>
      </c>
      <c r="C22" s="33"/>
      <c r="D22" s="34"/>
      <c r="H22" s="41"/>
      <c r="I22" s="16">
        <v>43809</v>
      </c>
      <c r="J22" s="15">
        <v>0.97941605282646038</v>
      </c>
      <c r="K22" s="11">
        <v>1.1785801213389227E-5</v>
      </c>
    </row>
    <row r="23" spans="2:11">
      <c r="B23" s="37">
        <f t="shared" si="0"/>
        <v>44379</v>
      </c>
      <c r="C23" s="33"/>
      <c r="D23" s="34"/>
      <c r="H23" s="41"/>
      <c r="I23" s="16">
        <v>43819</v>
      </c>
      <c r="J23" s="15">
        <v>0.97807794496653455</v>
      </c>
      <c r="K23" s="11">
        <v>1.2984111346995043E-5</v>
      </c>
    </row>
    <row r="24" spans="2:11">
      <c r="B24" s="37">
        <f t="shared" si="0"/>
        <v>44469</v>
      </c>
      <c r="C24" s="33"/>
      <c r="D24" s="34"/>
      <c r="H24" s="41"/>
      <c r="I24" s="16">
        <v>43829</v>
      </c>
      <c r="J24" s="15">
        <v>0.9767415944300718</v>
      </c>
      <c r="K24" s="11">
        <v>1.4213810899254621E-5</v>
      </c>
    </row>
    <row r="25" spans="2:11">
      <c r="B25" s="37">
        <f t="shared" si="0"/>
        <v>44559</v>
      </c>
      <c r="C25" s="33"/>
      <c r="D25" s="34"/>
      <c r="H25" s="41"/>
      <c r="I25" s="16">
        <v>43839</v>
      </c>
      <c r="J25" s="15">
        <v>0.97540705131582539</v>
      </c>
      <c r="K25" s="11">
        <v>1.5479996500579545E-5</v>
      </c>
    </row>
    <row r="26" spans="2:11">
      <c r="B26" s="37">
        <f t="shared" si="0"/>
        <v>44649</v>
      </c>
      <c r="C26" s="33"/>
      <c r="D26" s="34"/>
      <c r="H26" s="41"/>
      <c r="I26" s="16">
        <v>43849</v>
      </c>
      <c r="J26" s="15">
        <v>0.97407438893678822</v>
      </c>
      <c r="K26" s="11">
        <v>1.6776477946775391E-5</v>
      </c>
    </row>
    <row r="27" spans="2:11">
      <c r="B27" s="37">
        <f t="shared" si="0"/>
        <v>44739</v>
      </c>
      <c r="C27" s="33"/>
      <c r="D27" s="34"/>
      <c r="H27" s="41"/>
      <c r="I27" s="16">
        <v>43859</v>
      </c>
      <c r="J27" s="15">
        <v>0.97274349889727307</v>
      </c>
      <c r="K27" s="11">
        <v>1.8103425845448811E-5</v>
      </c>
    </row>
    <row r="28" spans="2:11">
      <c r="B28" s="37">
        <f t="shared" si="0"/>
        <v>44829</v>
      </c>
      <c r="C28" s="33"/>
      <c r="D28" s="34"/>
      <c r="H28" s="41"/>
      <c r="I28" s="16">
        <v>43869</v>
      </c>
      <c r="J28" s="15">
        <v>0.97141419429332232</v>
      </c>
      <c r="K28" s="11">
        <v>1.9457900438651681E-5</v>
      </c>
    </row>
    <row r="29" spans="2:11">
      <c r="B29" s="37">
        <f t="shared" si="0"/>
        <v>44919</v>
      </c>
      <c r="C29" s="33"/>
      <c r="D29" s="34"/>
      <c r="H29" s="41"/>
      <c r="I29" s="16">
        <v>43879</v>
      </c>
      <c r="J29" s="15">
        <v>0.97008666327240034</v>
      </c>
      <c r="K29" s="11">
        <v>2.0841023092328413E-5</v>
      </c>
    </row>
    <row r="30" spans="2:11">
      <c r="B30" s="37">
        <f t="shared" si="0"/>
        <v>45009</v>
      </c>
      <c r="C30" s="33"/>
      <c r="D30" s="34"/>
      <c r="H30" s="41"/>
      <c r="I30" s="16">
        <v>43889</v>
      </c>
      <c r="J30" s="15">
        <v>0.96876127439190973</v>
      </c>
      <c r="K30" s="11">
        <v>2.2251901542776689E-5</v>
      </c>
    </row>
    <row r="31" spans="2:11">
      <c r="B31" s="37">
        <f t="shared" si="0"/>
        <v>45099</v>
      </c>
      <c r="C31" s="33"/>
      <c r="D31" s="34"/>
      <c r="H31" s="41"/>
      <c r="I31" s="16">
        <v>43899</v>
      </c>
      <c r="J31" s="15">
        <v>0.96743762899325492</v>
      </c>
      <c r="K31" s="11">
        <v>2.368389626312008E-5</v>
      </c>
    </row>
    <row r="32" spans="2:11">
      <c r="B32" s="37">
        <f t="shared" si="0"/>
        <v>45189</v>
      </c>
      <c r="C32" s="33"/>
      <c r="D32" s="34"/>
      <c r="H32" s="41"/>
      <c r="I32" s="16">
        <v>43909</v>
      </c>
      <c r="J32" s="15">
        <v>0.96611626970482978</v>
      </c>
      <c r="K32" s="11">
        <v>2.514129347168203E-5</v>
      </c>
    </row>
    <row r="33" spans="2:11">
      <c r="B33" s="37">
        <f t="shared" si="0"/>
        <v>45279</v>
      </c>
      <c r="C33" s="33"/>
      <c r="D33" s="34"/>
      <c r="H33" s="41"/>
      <c r="I33" s="16">
        <v>43919</v>
      </c>
      <c r="J33" s="15">
        <v>0.96479659733926515</v>
      </c>
      <c r="K33" s="11">
        <v>2.6622323456422522E-5</v>
      </c>
    </row>
    <row r="34" spans="2:11">
      <c r="B34" s="37">
        <f t="shared" si="0"/>
        <v>45369</v>
      </c>
      <c r="C34" s="33"/>
      <c r="D34" s="34"/>
      <c r="H34" s="41"/>
      <c r="I34" s="16">
        <v>43929</v>
      </c>
      <c r="J34" s="15">
        <v>0.9634783803182575</v>
      </c>
      <c r="K34" s="11">
        <v>2.8124960585856423E-5</v>
      </c>
    </row>
    <row r="35" spans="2:11">
      <c r="B35" s="37">
        <f t="shared" si="0"/>
        <v>45459</v>
      </c>
      <c r="C35" s="33"/>
      <c r="D35" s="34"/>
      <c r="H35" s="41"/>
      <c r="I35" s="16">
        <v>43939</v>
      </c>
      <c r="J35" s="15">
        <v>0.96216200633230098</v>
      </c>
      <c r="K35" s="11">
        <v>2.965196808032433E-5</v>
      </c>
    </row>
    <row r="36" spans="2:11">
      <c r="B36" s="37"/>
      <c r="C36" s="33"/>
      <c r="D36" s="34"/>
      <c r="H36" s="41"/>
      <c r="I36" s="16">
        <v>43949</v>
      </c>
      <c r="J36" s="15">
        <v>0.96084747941002913</v>
      </c>
      <c r="K36" s="11">
        <v>3.1202117973279851E-5</v>
      </c>
    </row>
    <row r="37" spans="2:11">
      <c r="B37" s="37"/>
      <c r="C37" s="33"/>
      <c r="D37" s="34"/>
      <c r="H37" s="41"/>
      <c r="I37" s="16">
        <v>43959</v>
      </c>
      <c r="J37" s="15">
        <v>0.95953461066669732</v>
      </c>
      <c r="K37" s="11">
        <v>3.2776972006580536E-5</v>
      </c>
    </row>
    <row r="38" spans="2:11">
      <c r="B38" s="37"/>
      <c r="C38" s="33"/>
      <c r="D38" s="34"/>
      <c r="H38" s="41"/>
      <c r="I38" s="16">
        <v>43969</v>
      </c>
      <c r="J38" s="15">
        <v>0.95822353787221959</v>
      </c>
      <c r="K38" s="11">
        <v>3.4379342225270045E-5</v>
      </c>
    </row>
    <row r="39" spans="2:11">
      <c r="B39" s="37"/>
      <c r="C39" s="33"/>
      <c r="D39" s="34"/>
      <c r="H39" s="41"/>
      <c r="I39" s="16">
        <v>43979</v>
      </c>
      <c r="J39" s="15">
        <v>0.95691431548392458</v>
      </c>
      <c r="K39" s="11">
        <v>3.6000128347734378E-5</v>
      </c>
    </row>
    <row r="40" spans="2:11">
      <c r="B40" s="37"/>
      <c r="C40" s="33"/>
      <c r="D40" s="34"/>
      <c r="H40" s="41"/>
      <c r="I40" s="16">
        <v>43989</v>
      </c>
      <c r="J40" s="15">
        <v>0.95560694965463788</v>
      </c>
      <c r="K40" s="11">
        <v>3.7642486743873868E-5</v>
      </c>
    </row>
    <row r="41" spans="2:11">
      <c r="B41" s="37"/>
      <c r="C41" s="33"/>
      <c r="D41" s="34"/>
      <c r="H41" s="41"/>
      <c r="I41" s="16">
        <v>43999</v>
      </c>
      <c r="J41" s="15">
        <v>0.95430135792262671</v>
      </c>
      <c r="K41" s="11">
        <v>3.9300295579654617E-5</v>
      </c>
    </row>
    <row r="42" spans="2:11">
      <c r="B42" s="37"/>
      <c r="C42" s="33"/>
      <c r="D42" s="34"/>
      <c r="H42" s="41"/>
      <c r="I42" s="16">
        <v>44009</v>
      </c>
      <c r="J42" s="15">
        <v>0.95299739027691732</v>
      </c>
      <c r="K42" s="11">
        <v>4.09825117965286E-5</v>
      </c>
    </row>
    <row r="43" spans="2:11">
      <c r="B43" s="37"/>
      <c r="C43" s="33"/>
      <c r="D43" s="34"/>
      <c r="H43" s="41"/>
      <c r="I43" s="16">
        <v>44019</v>
      </c>
      <c r="J43" s="15">
        <v>0.9516947843585154</v>
      </c>
      <c r="K43" s="11">
        <v>4.2682941693123493E-5</v>
      </c>
    </row>
    <row r="44" spans="2:11" ht="15.75" thickBot="1">
      <c r="B44" s="38"/>
      <c r="C44" s="33"/>
      <c r="D44" s="34"/>
      <c r="H44" s="41"/>
      <c r="I44" s="16">
        <v>44029</v>
      </c>
      <c r="J44" s="15">
        <v>0.95039427859103998</v>
      </c>
      <c r="K44" s="11">
        <v>4.4405330533813542E-5</v>
      </c>
    </row>
    <row r="45" spans="2:11">
      <c r="H45" s="41"/>
      <c r="I45" s="16">
        <v>44039</v>
      </c>
      <c r="J45" s="15">
        <v>0.94909566410414303</v>
      </c>
      <c r="K45" s="11">
        <v>4.6138808051199281E-5</v>
      </c>
    </row>
    <row r="46" spans="2:11">
      <c r="H46" s="41"/>
      <c r="I46" s="16">
        <v>44049</v>
      </c>
      <c r="J46" s="15">
        <v>0.94779892833930746</v>
      </c>
      <c r="K46" s="11">
        <v>4.7882125444189318E-5</v>
      </c>
    </row>
    <row r="47" spans="2:11">
      <c r="H47" s="41"/>
      <c r="I47" s="16">
        <v>44059</v>
      </c>
      <c r="J47" s="15">
        <v>0.94650392488187196</v>
      </c>
      <c r="K47" s="11">
        <v>4.9636418954262088E-5</v>
      </c>
    </row>
    <row r="48" spans="2:11">
      <c r="H48" s="41"/>
      <c r="I48" s="16">
        <v>44069</v>
      </c>
      <c r="J48" s="15">
        <v>0.94521044141683574</v>
      </c>
      <c r="K48" s="11">
        <v>5.1409288829712292E-5</v>
      </c>
    </row>
    <row r="49" spans="8:11">
      <c r="H49" s="41"/>
      <c r="I49" s="16">
        <v>44079</v>
      </c>
      <c r="J49" s="15">
        <v>0.94391930448217176</v>
      </c>
      <c r="K49" s="11">
        <v>5.3196302376140433E-5</v>
      </c>
    </row>
    <row r="50" spans="8:11">
      <c r="H50" s="41"/>
      <c r="I50" s="16">
        <v>44089</v>
      </c>
      <c r="J50" s="15">
        <v>0.94262997985517194</v>
      </c>
      <c r="K50" s="11">
        <v>5.500218664047359E-5</v>
      </c>
    </row>
    <row r="51" spans="8:11">
      <c r="H51" s="41"/>
      <c r="I51" s="16">
        <v>44099</v>
      </c>
      <c r="J51" s="15">
        <v>0.94134236456328713</v>
      </c>
      <c r="K51" s="11">
        <v>5.6820673473028608E-5</v>
      </c>
    </row>
    <row r="52" spans="8:11">
      <c r="H52" s="41"/>
      <c r="I52" s="16">
        <v>44109</v>
      </c>
      <c r="J52" s="15">
        <v>0.94005687553722928</v>
      </c>
      <c r="K52" s="11">
        <v>5.8656462937171821E-5</v>
      </c>
    </row>
    <row r="53" spans="8:11">
      <c r="H53" s="41"/>
      <c r="I53" s="16">
        <v>44119</v>
      </c>
      <c r="J53" s="15">
        <v>0.93877307490198347</v>
      </c>
      <c r="K53" s="11">
        <v>6.051024258471918E-5</v>
      </c>
    </row>
    <row r="54" spans="8:11">
      <c r="H54" s="41"/>
      <c r="I54" s="16">
        <v>44129</v>
      </c>
      <c r="J54" s="15">
        <v>0.93749094152273549</v>
      </c>
      <c r="K54" s="11">
        <v>6.2382870574668886E-5</v>
      </c>
    </row>
    <row r="55" spans="8:11">
      <c r="H55" s="41"/>
      <c r="I55" s="16">
        <v>44139</v>
      </c>
      <c r="J55" s="15">
        <v>0.93621047029253845</v>
      </c>
      <c r="K55" s="11">
        <v>6.4263861767076052E-5</v>
      </c>
    </row>
    <row r="56" spans="8:11">
      <c r="H56" s="41"/>
      <c r="I56" s="16">
        <v>44149</v>
      </c>
      <c r="J56" s="15">
        <v>0.93493172897553789</v>
      </c>
      <c r="K56" s="11">
        <v>6.6151018096036887E-5</v>
      </c>
    </row>
    <row r="57" spans="8:11">
      <c r="H57" s="41"/>
      <c r="I57" s="16">
        <v>44159</v>
      </c>
      <c r="J57" s="15">
        <v>0.93365416534159196</v>
      </c>
      <c r="K57" s="11">
        <v>6.8046110029433487E-5</v>
      </c>
    </row>
    <row r="58" spans="8:11">
      <c r="H58" s="41"/>
      <c r="I58" s="16">
        <v>44169</v>
      </c>
      <c r="J58" s="15">
        <v>0.93237838804920314</v>
      </c>
      <c r="K58" s="11">
        <v>6.9946395876652014E-5</v>
      </c>
    </row>
    <row r="59" spans="8:11">
      <c r="H59" s="41"/>
      <c r="I59" s="16">
        <v>44179</v>
      </c>
      <c r="J59" s="15">
        <v>0.93110414724260604</v>
      </c>
      <c r="K59" s="11">
        <v>7.185990906278523E-5</v>
      </c>
    </row>
    <row r="60" spans="8:11">
      <c r="H60" s="41"/>
      <c r="I60" s="16">
        <v>44189</v>
      </c>
      <c r="J60" s="15">
        <v>0.9298319900213351</v>
      </c>
      <c r="K60" s="11">
        <v>7.3785852420937587E-5</v>
      </c>
    </row>
    <row r="61" spans="8:11">
      <c r="H61" s="41"/>
      <c r="I61" s="16">
        <v>44199</v>
      </c>
      <c r="J61" s="15">
        <v>0.92856152529098068</v>
      </c>
      <c r="K61" s="11">
        <v>7.5716789921121235E-5</v>
      </c>
    </row>
    <row r="62" spans="8:11">
      <c r="H62" s="41"/>
      <c r="I62" s="16">
        <v>44209</v>
      </c>
      <c r="J62" s="15">
        <v>0.92729292460770152</v>
      </c>
      <c r="K62" s="11">
        <v>7.7657377305250173E-5</v>
      </c>
    </row>
    <row r="63" spans="8:11">
      <c r="H63" s="41"/>
      <c r="I63" s="16">
        <v>44219</v>
      </c>
      <c r="J63" s="15">
        <v>0.92602588046449597</v>
      </c>
      <c r="K63" s="11">
        <v>7.9608209110220229E-5</v>
      </c>
    </row>
    <row r="64" spans="8:11">
      <c r="H64" s="41"/>
      <c r="I64" s="16">
        <v>44229</v>
      </c>
      <c r="J64" s="15">
        <v>0.92476060468256505</v>
      </c>
      <c r="K64" s="11">
        <v>8.1573435433807066E-5</v>
      </c>
    </row>
    <row r="65" spans="8:11">
      <c r="H65" s="41"/>
      <c r="I65" s="16">
        <v>44239</v>
      </c>
      <c r="J65" s="15">
        <v>0.92349662894987616</v>
      </c>
      <c r="K65" s="11">
        <v>8.3547620196320683E-5</v>
      </c>
    </row>
    <row r="66" spans="8:11">
      <c r="H66" s="41"/>
      <c r="I66" s="16">
        <v>44249</v>
      </c>
      <c r="J66" s="15">
        <v>0.92223453192064841</v>
      </c>
      <c r="K66" s="11">
        <v>8.552590255963607E-5</v>
      </c>
    </row>
    <row r="67" spans="8:11">
      <c r="H67" s="41"/>
      <c r="I67" s="16">
        <v>44259</v>
      </c>
      <c r="J67" s="15">
        <v>0.92097403635592601</v>
      </c>
      <c r="K67" s="11">
        <v>8.7507269568074677E-5</v>
      </c>
    </row>
    <row r="68" spans="8:11">
      <c r="H68" s="41"/>
      <c r="I68" s="16">
        <v>44269</v>
      </c>
      <c r="J68" s="15">
        <v>0.91971543981839232</v>
      </c>
      <c r="K68" s="11">
        <v>8.9498349711572664E-5</v>
      </c>
    </row>
    <row r="69" spans="8:11">
      <c r="H69" s="41"/>
      <c r="I69" s="16">
        <v>44279</v>
      </c>
      <c r="J69" s="15">
        <v>0.91845855924718955</v>
      </c>
      <c r="K69" s="11">
        <v>9.1497292806643469E-5</v>
      </c>
    </row>
    <row r="70" spans="8:11">
      <c r="H70" s="41"/>
      <c r="I70" s="16">
        <v>44289</v>
      </c>
      <c r="J70" s="15">
        <v>0.91720315082342385</v>
      </c>
      <c r="K70" s="11">
        <v>9.3503693559858879E-5</v>
      </c>
    </row>
    <row r="71" spans="8:11">
      <c r="H71" s="41"/>
      <c r="I71" s="16">
        <v>44299</v>
      </c>
      <c r="J71" s="15">
        <v>0.91594924819218682</v>
      </c>
      <c r="K71" s="11">
        <v>9.5517676244370736E-5</v>
      </c>
    </row>
    <row r="72" spans="8:11">
      <c r="H72" s="41"/>
      <c r="I72" s="16">
        <v>44309</v>
      </c>
      <c r="J72" s="15">
        <v>0.91469720970485613</v>
      </c>
      <c r="K72" s="11">
        <v>9.7540688552027032E-5</v>
      </c>
    </row>
    <row r="73" spans="8:11">
      <c r="H73" s="41"/>
      <c r="I73" s="16">
        <v>44319</v>
      </c>
      <c r="J73" s="15">
        <v>0.9134472107636934</v>
      </c>
      <c r="K73" s="11">
        <v>9.9571921463908553E-5</v>
      </c>
    </row>
    <row r="74" spans="8:11">
      <c r="H74" s="41"/>
      <c r="I74" s="16">
        <v>44329</v>
      </c>
      <c r="J74" s="15">
        <v>0.91219892553949855</v>
      </c>
      <c r="K74" s="11">
        <v>1.0160770111497821E-4</v>
      </c>
    </row>
    <row r="75" spans="8:11">
      <c r="H75" s="41"/>
      <c r="I75" s="16">
        <v>44339</v>
      </c>
      <c r="J75" s="15">
        <v>0.91095200211843197</v>
      </c>
      <c r="K75" s="11">
        <v>1.0364967230020267E-4</v>
      </c>
    </row>
    <row r="76" spans="8:11">
      <c r="H76" s="41"/>
      <c r="I76" s="16">
        <v>44349</v>
      </c>
      <c r="J76" s="15">
        <v>0.90970658098055734</v>
      </c>
      <c r="K76" s="11">
        <v>1.0569589912485254E-4</v>
      </c>
    </row>
    <row r="77" spans="8:11">
      <c r="H77" s="41"/>
      <c r="I77" s="16">
        <v>44359</v>
      </c>
      <c r="J77" s="15">
        <v>0.90846299997597713</v>
      </c>
      <c r="K77" s="11">
        <v>1.0774754767005314E-4</v>
      </c>
    </row>
    <row r="78" spans="8:11">
      <c r="H78" s="41"/>
      <c r="I78" s="16">
        <v>44369</v>
      </c>
      <c r="J78" s="15">
        <v>0.90722107749392089</v>
      </c>
      <c r="K78" s="11">
        <v>1.0980371862614402E-4</v>
      </c>
    </row>
    <row r="79" spans="8:11">
      <c r="H79" s="41"/>
      <c r="I79" s="16">
        <v>44379</v>
      </c>
      <c r="J79" s="15">
        <v>0.90598081691700882</v>
      </c>
      <c r="K79" s="11">
        <v>1.1186412684315035E-4</v>
      </c>
    </row>
    <row r="80" spans="8:11">
      <c r="H80" s="41"/>
      <c r="I80" s="16">
        <v>44389</v>
      </c>
      <c r="J80" s="15">
        <v>0.90474230503212105</v>
      </c>
      <c r="K80" s="11">
        <v>1.1393076148338178E-4</v>
      </c>
    </row>
    <row r="81" spans="8:11">
      <c r="H81" s="41"/>
      <c r="I81" s="16">
        <v>44399</v>
      </c>
      <c r="J81" s="15">
        <v>0.90350560676165637</v>
      </c>
      <c r="K81" s="11">
        <v>1.1600212358581044E-4</v>
      </c>
    </row>
    <row r="82" spans="8:11">
      <c r="H82" s="41"/>
      <c r="I82" s="16">
        <v>44409</v>
      </c>
      <c r="J82" s="15">
        <v>0.90227036830202256</v>
      </c>
      <c r="K82" s="11">
        <v>1.1808299124239447E-4</v>
      </c>
    </row>
    <row r="83" spans="8:11">
      <c r="H83" s="41"/>
      <c r="I83" s="16">
        <v>44419</v>
      </c>
      <c r="J83" s="15">
        <v>0.9010371489618928</v>
      </c>
      <c r="K83" s="11">
        <v>1.2016450927045022E-4</v>
      </c>
    </row>
    <row r="84" spans="8:11">
      <c r="H84" s="41"/>
      <c r="I84" s="16">
        <v>44429</v>
      </c>
      <c r="J84" s="15">
        <v>0.89980507262122189</v>
      </c>
      <c r="K84" s="11">
        <v>1.2225161057250139E-4</v>
      </c>
    </row>
    <row r="85" spans="8:11">
      <c r="H85" s="41"/>
      <c r="I85" s="16">
        <v>44439</v>
      </c>
      <c r="J85" s="15">
        <v>0.89857499318909817</v>
      </c>
      <c r="K85" s="11">
        <v>1.2433953241813099E-4</v>
      </c>
    </row>
    <row r="86" spans="8:11">
      <c r="H86" s="41"/>
      <c r="I86" s="16">
        <v>44449</v>
      </c>
      <c r="J86" s="15">
        <v>0.89734660461702365</v>
      </c>
      <c r="K86" s="11">
        <v>1.2643006520699271E-4</v>
      </c>
    </row>
    <row r="87" spans="8:11">
      <c r="H87" s="41"/>
      <c r="I87" s="16">
        <v>44459</v>
      </c>
      <c r="J87" s="15">
        <v>0.89612003229420567</v>
      </c>
      <c r="K87" s="11">
        <v>1.2852845230645318E-4</v>
      </c>
    </row>
    <row r="88" spans="8:11">
      <c r="H88" s="41"/>
      <c r="I88" s="16">
        <v>44469</v>
      </c>
      <c r="J88" s="15">
        <v>0.89489494742811282</v>
      </c>
      <c r="K88" s="11">
        <v>1.3063223816030205E-4</v>
      </c>
    </row>
    <row r="89" spans="8:11">
      <c r="H89" s="41"/>
      <c r="I89" s="16">
        <v>44479</v>
      </c>
      <c r="J89" s="15">
        <v>0.89367147236183264</v>
      </c>
      <c r="K89" s="11">
        <v>1.3273992616564056E-4</v>
      </c>
    </row>
    <row r="90" spans="8:11">
      <c r="H90" s="41"/>
      <c r="I90" s="16">
        <v>44489</v>
      </c>
      <c r="J90" s="15">
        <v>0.89244962699651864</v>
      </c>
      <c r="K90" s="11">
        <v>1.3484794547944143E-4</v>
      </c>
    </row>
    <row r="91" spans="8:11">
      <c r="H91" s="41"/>
      <c r="I91" s="16">
        <v>44499</v>
      </c>
      <c r="J91" s="15">
        <v>0.89122945956706434</v>
      </c>
      <c r="K91" s="11">
        <v>1.3696292887576379E-4</v>
      </c>
    </row>
    <row r="92" spans="8:11">
      <c r="H92" s="41"/>
      <c r="I92" s="16">
        <v>44509</v>
      </c>
      <c r="J92" s="15">
        <v>0.89001050545007909</v>
      </c>
      <c r="K92" s="11">
        <v>1.3908425565068507E-4</v>
      </c>
    </row>
    <row r="93" spans="8:11">
      <c r="H93" s="41"/>
      <c r="I93" s="16">
        <v>44519</v>
      </c>
      <c r="J93" s="15">
        <v>0.88879330651883859</v>
      </c>
      <c r="K93" s="11">
        <v>1.4121364032539221E-4</v>
      </c>
    </row>
    <row r="94" spans="8:11">
      <c r="H94" s="41"/>
      <c r="I94" s="16">
        <v>44529</v>
      </c>
      <c r="J94" s="15">
        <v>0.88757732308441628</v>
      </c>
      <c r="K94" s="11">
        <v>1.4334775949552766E-4</v>
      </c>
    </row>
    <row r="95" spans="8:11">
      <c r="H95" s="41"/>
      <c r="I95" s="16">
        <v>44539</v>
      </c>
      <c r="J95" s="15">
        <v>0.88636307227101918</v>
      </c>
      <c r="K95" s="11">
        <v>1.4549227541078518E-4</v>
      </c>
    </row>
    <row r="96" spans="8:11">
      <c r="H96" s="41"/>
      <c r="I96" s="16">
        <v>44549</v>
      </c>
      <c r="J96" s="15">
        <v>0.88515044836539791</v>
      </c>
      <c r="K96" s="11">
        <v>1.4763494394586624E-4</v>
      </c>
    </row>
    <row r="97" spans="8:11">
      <c r="H97" s="41"/>
      <c r="I97" s="16">
        <v>44559</v>
      </c>
      <c r="J97" s="15">
        <v>0.88393967361624148</v>
      </c>
      <c r="K97" s="11">
        <v>1.4977843575799516E-4</v>
      </c>
    </row>
    <row r="98" spans="8:11">
      <c r="H98" s="41"/>
      <c r="I98" s="16">
        <v>44569</v>
      </c>
      <c r="J98" s="15">
        <v>0.88273046339923111</v>
      </c>
      <c r="K98" s="11">
        <v>1.5192286456008531E-4</v>
      </c>
    </row>
    <row r="99" spans="8:11">
      <c r="H99" s="41"/>
      <c r="I99" s="16">
        <v>44579</v>
      </c>
      <c r="J99" s="15">
        <v>0.88152304673412829</v>
      </c>
      <c r="K99" s="11">
        <v>1.5406696061471848E-4</v>
      </c>
    </row>
    <row r="100" spans="8:11">
      <c r="H100" s="41"/>
      <c r="I100" s="16">
        <v>44589</v>
      </c>
      <c r="J100" s="15">
        <v>0.88031740115139034</v>
      </c>
      <c r="K100" s="11">
        <v>1.5620939656860029E-4</v>
      </c>
    </row>
    <row r="101" spans="8:11">
      <c r="H101" s="41"/>
      <c r="I101" s="16">
        <v>44599</v>
      </c>
      <c r="J101" s="15">
        <v>0.87911339664964572</v>
      </c>
      <c r="K101" s="11">
        <v>1.5835475312726792E-4</v>
      </c>
    </row>
    <row r="102" spans="8:11">
      <c r="H102" s="41"/>
      <c r="I102" s="16">
        <v>44609</v>
      </c>
      <c r="J102" s="15">
        <v>0.87791095101451344</v>
      </c>
      <c r="K102" s="11">
        <v>1.604994531698559E-4</v>
      </c>
    </row>
    <row r="103" spans="8:11">
      <c r="H103" s="41"/>
      <c r="I103" s="16">
        <v>44619</v>
      </c>
      <c r="J103" s="15">
        <v>0.8767100359294574</v>
      </c>
      <c r="K103" s="11">
        <v>1.6264898141495502E-4</v>
      </c>
    </row>
    <row r="104" spans="8:11">
      <c r="H104" s="41"/>
      <c r="I104" s="16">
        <v>44629</v>
      </c>
      <c r="J104" s="15">
        <v>0.87551055122560695</v>
      </c>
      <c r="K104" s="11">
        <v>1.6480262399411452E-4</v>
      </c>
    </row>
    <row r="105" spans="8:11">
      <c r="H105" s="41"/>
      <c r="I105" s="16">
        <v>44639</v>
      </c>
      <c r="J105" s="15">
        <v>0.87431271480433115</v>
      </c>
      <c r="K105" s="11">
        <v>1.6695715896848721E-4</v>
      </c>
    </row>
    <row r="106" spans="8:11">
      <c r="H106" s="41"/>
      <c r="I106" s="16">
        <v>44649</v>
      </c>
      <c r="J106" s="15">
        <v>0.87311663346579871</v>
      </c>
      <c r="K106" s="11">
        <v>1.6911105214708599E-4</v>
      </c>
    </row>
    <row r="107" spans="8:11">
      <c r="H107" s="41"/>
      <c r="I107" s="16">
        <v>44659</v>
      </c>
      <c r="J107" s="15">
        <v>0.87192211867261815</v>
      </c>
      <c r="K107" s="11">
        <v>1.7126816490227879E-4</v>
      </c>
    </row>
    <row r="108" spans="8:11">
      <c r="H108" s="41"/>
      <c r="I108" s="16">
        <v>44669</v>
      </c>
      <c r="J108" s="15">
        <v>0.87072898420873523</v>
      </c>
      <c r="K108" s="11">
        <v>1.7342845713974603E-4</v>
      </c>
    </row>
    <row r="109" spans="8:11">
      <c r="H109" s="41"/>
      <c r="I109" s="16">
        <v>44679</v>
      </c>
      <c r="J109" s="15">
        <v>0.8695374274644917</v>
      </c>
      <c r="K109" s="11">
        <v>1.7559542706004603E-4</v>
      </c>
    </row>
    <row r="110" spans="8:11">
      <c r="H110" s="41"/>
      <c r="I110" s="16">
        <v>44689</v>
      </c>
      <c r="J110" s="15">
        <v>0.86834751928727882</v>
      </c>
      <c r="K110" s="11">
        <v>1.7776487713735747E-4</v>
      </c>
    </row>
    <row r="111" spans="8:11">
      <c r="H111" s="41"/>
      <c r="I111" s="16">
        <v>44699</v>
      </c>
      <c r="J111" s="15">
        <v>0.86715904934244536</v>
      </c>
      <c r="K111" s="11">
        <v>1.7993593129573849E-4</v>
      </c>
    </row>
    <row r="112" spans="8:11">
      <c r="H112" s="41"/>
      <c r="I112" s="16">
        <v>44709</v>
      </c>
      <c r="J112" s="15">
        <v>0.86597218149188793</v>
      </c>
      <c r="K112" s="11">
        <v>1.8211049075729272E-4</v>
      </c>
    </row>
    <row r="113" spans="8:11">
      <c r="H113" s="41"/>
      <c r="I113" s="16">
        <v>44719</v>
      </c>
      <c r="J113" s="15">
        <v>0.86478692507691923</v>
      </c>
      <c r="K113" s="11">
        <v>1.8428161739207177E-4</v>
      </c>
    </row>
    <row r="114" spans="8:11">
      <c r="H114" s="41"/>
      <c r="I114" s="16">
        <v>44729</v>
      </c>
      <c r="J114" s="15">
        <v>0.86360327751386234</v>
      </c>
      <c r="K114" s="11">
        <v>1.8645106150307276E-4</v>
      </c>
    </row>
    <row r="115" spans="8:11">
      <c r="H115" s="41"/>
      <c r="I115" s="16">
        <v>44739</v>
      </c>
      <c r="J115" s="15">
        <v>0.86242126510591599</v>
      </c>
      <c r="K115" s="11">
        <v>1.8862116637608363E-4</v>
      </c>
    </row>
    <row r="116" spans="8:11">
      <c r="H116" s="41"/>
      <c r="I116" s="16">
        <v>44749</v>
      </c>
      <c r="J116" s="15">
        <v>0.86124063645662918</v>
      </c>
      <c r="K116" s="11">
        <v>1.9078868772344325E-4</v>
      </c>
    </row>
    <row r="117" spans="8:11">
      <c r="H117" s="41"/>
      <c r="I117" s="16">
        <v>44759</v>
      </c>
      <c r="J117" s="15">
        <v>0.86006149667891951</v>
      </c>
      <c r="K117" s="11">
        <v>1.9295516436222554E-4</v>
      </c>
    </row>
    <row r="118" spans="8:11">
      <c r="H118" s="41"/>
      <c r="I118" s="16">
        <v>44769</v>
      </c>
      <c r="J118" s="15">
        <v>0.85888440674711697</v>
      </c>
      <c r="K118" s="11">
        <v>1.9511780501816446E-4</v>
      </c>
    </row>
    <row r="119" spans="8:11">
      <c r="H119" s="41"/>
      <c r="I119" s="16">
        <v>44779</v>
      </c>
      <c r="J119" s="15">
        <v>0.85770903846582158</v>
      </c>
      <c r="K119" s="11">
        <v>1.9727996951609536E-4</v>
      </c>
    </row>
    <row r="120" spans="8:11">
      <c r="H120" s="41"/>
      <c r="I120" s="16">
        <v>44789</v>
      </c>
      <c r="J120" s="15">
        <v>0.85653486139448909</v>
      </c>
      <c r="K120" s="11">
        <v>1.9944387934744842E-4</v>
      </c>
    </row>
    <row r="121" spans="8:11">
      <c r="H121" s="41"/>
      <c r="I121" s="16">
        <v>44799</v>
      </c>
      <c r="J121" s="15">
        <v>0.85536217235737211</v>
      </c>
      <c r="K121" s="11">
        <v>2.0160971346420867E-4</v>
      </c>
    </row>
    <row r="122" spans="8:11">
      <c r="H122" s="41"/>
      <c r="I122" s="16">
        <v>44809</v>
      </c>
      <c r="J122" s="15">
        <v>0.85419122115981594</v>
      </c>
      <c r="K122" s="11">
        <v>2.0377561021699201E-4</v>
      </c>
    </row>
    <row r="123" spans="8:11">
      <c r="H123" s="41"/>
      <c r="I123" s="16">
        <v>44819</v>
      </c>
      <c r="J123" s="15">
        <v>0.85302178606864365</v>
      </c>
      <c r="K123" s="11">
        <v>2.0594401891836151E-4</v>
      </c>
    </row>
    <row r="124" spans="8:11">
      <c r="H124" s="41"/>
      <c r="I124" s="16">
        <v>44829</v>
      </c>
      <c r="J124" s="15">
        <v>0.85185407804348401</v>
      </c>
      <c r="K124" s="11">
        <v>2.0811312575223342E-4</v>
      </c>
    </row>
    <row r="125" spans="8:11">
      <c r="H125" s="41"/>
      <c r="I125" s="16">
        <v>44839</v>
      </c>
      <c r="J125" s="15">
        <v>0.85068812870420529</v>
      </c>
      <c r="K125" s="11">
        <v>2.1028076409584668E-4</v>
      </c>
    </row>
    <row r="126" spans="8:11">
      <c r="H126" s="41"/>
      <c r="I126" s="16">
        <v>44849</v>
      </c>
      <c r="J126" s="15">
        <v>0.84952410768108622</v>
      </c>
      <c r="K126" s="11">
        <v>2.1245113226039733E-4</v>
      </c>
    </row>
    <row r="127" spans="8:11">
      <c r="H127" s="41"/>
      <c r="I127" s="16">
        <v>44859</v>
      </c>
      <c r="J127" s="15">
        <v>0.84836178256074957</v>
      </c>
      <c r="K127" s="11">
        <v>2.1461988262236261E-4</v>
      </c>
    </row>
    <row r="128" spans="8:11">
      <c r="H128" s="41"/>
      <c r="I128" s="16">
        <v>44869</v>
      </c>
      <c r="J128" s="15">
        <v>0.84720111308438562</v>
      </c>
      <c r="K128" s="11">
        <v>2.167882179956345E-4</v>
      </c>
    </row>
    <row r="129" spans="8:11">
      <c r="H129" s="41"/>
      <c r="I129" s="16">
        <v>44879</v>
      </c>
      <c r="J129" s="15">
        <v>0.84604182052444354</v>
      </c>
      <c r="K129" s="11">
        <v>2.1895382863216262E-4</v>
      </c>
    </row>
    <row r="130" spans="8:11">
      <c r="H130" s="41"/>
      <c r="I130" s="16">
        <v>44889</v>
      </c>
      <c r="J130" s="15">
        <v>0.84488428149935013</v>
      </c>
      <c r="K130" s="11">
        <v>2.211204380400689E-4</v>
      </c>
    </row>
    <row r="131" spans="8:11">
      <c r="H131" s="41"/>
      <c r="I131" s="16">
        <v>44899</v>
      </c>
      <c r="J131" s="15">
        <v>0.84372851071817878</v>
      </c>
      <c r="K131" s="11">
        <v>2.2328922024877267E-4</v>
      </c>
    </row>
    <row r="132" spans="8:11">
      <c r="H132" s="41"/>
      <c r="I132" s="16">
        <v>44909</v>
      </c>
      <c r="J132" s="15">
        <v>0.84257418349151392</v>
      </c>
      <c r="K132" s="11">
        <v>2.2545767071273216E-4</v>
      </c>
    </row>
    <row r="133" spans="8:11">
      <c r="H133" s="41"/>
      <c r="I133" s="16">
        <v>44919</v>
      </c>
      <c r="J133" s="15">
        <v>0.84142114738664975</v>
      </c>
      <c r="K133" s="11">
        <v>2.2762852210897363E-4</v>
      </c>
    </row>
    <row r="134" spans="8:11">
      <c r="H134" s="41"/>
      <c r="I134" s="16">
        <v>44929</v>
      </c>
      <c r="J134" s="15">
        <v>0.84026969056311884</v>
      </c>
      <c r="K134" s="11">
        <v>2.2979886370094664E-4</v>
      </c>
    </row>
    <row r="135" spans="8:11">
      <c r="H135" s="41"/>
      <c r="I135" s="16">
        <v>44939</v>
      </c>
      <c r="J135" s="15">
        <v>0.83912017655200144</v>
      </c>
      <c r="K135" s="11">
        <v>2.3197013690688293E-4</v>
      </c>
    </row>
    <row r="136" spans="8:11">
      <c r="H136" s="41"/>
      <c r="I136" s="16">
        <v>44949</v>
      </c>
      <c r="J136" s="15">
        <v>0.83797180355421985</v>
      </c>
      <c r="K136" s="11">
        <v>2.3414001950769806E-4</v>
      </c>
    </row>
    <row r="137" spans="8:11">
      <c r="H137" s="41"/>
      <c r="I137" s="16">
        <v>44959</v>
      </c>
      <c r="J137" s="15">
        <v>0.83682490387454944</v>
      </c>
      <c r="K137" s="11">
        <v>2.3630948511454156E-4</v>
      </c>
    </row>
    <row r="138" spans="8:11">
      <c r="H138" s="41"/>
      <c r="I138" s="16">
        <v>44969</v>
      </c>
      <c r="J138" s="15">
        <v>0.8356794973871724</v>
      </c>
      <c r="K138" s="11">
        <v>2.3847988286786195E-4</v>
      </c>
    </row>
    <row r="139" spans="8:11">
      <c r="H139" s="41"/>
      <c r="I139" s="16">
        <v>44979</v>
      </c>
      <c r="J139" s="15">
        <v>0.83453576304643129</v>
      </c>
      <c r="K139" s="11">
        <v>2.4064852955232088E-4</v>
      </c>
    </row>
    <row r="140" spans="8:11">
      <c r="H140" s="41"/>
      <c r="I140" s="16">
        <v>44989</v>
      </c>
      <c r="J140" s="15">
        <v>0.83339342455838961</v>
      </c>
      <c r="K140" s="11">
        <v>2.4281257927942938E-4</v>
      </c>
    </row>
    <row r="141" spans="8:11">
      <c r="H141" s="41"/>
      <c r="I141" s="16">
        <v>44999</v>
      </c>
      <c r="J141" s="15">
        <v>0.8322526679215031</v>
      </c>
      <c r="K141" s="11">
        <v>2.449807740030439E-4</v>
      </c>
    </row>
    <row r="142" spans="8:11">
      <c r="H142" s="41"/>
      <c r="I142" s="16">
        <v>45009</v>
      </c>
      <c r="J142" s="15">
        <v>0.83111332727551446</v>
      </c>
      <c r="K142" s="11">
        <v>2.4714821315895076E-4</v>
      </c>
    </row>
    <row r="143" spans="8:11">
      <c r="H143" s="41"/>
      <c r="I143" s="16">
        <v>45019</v>
      </c>
      <c r="J143" s="15">
        <v>0.82997508900523431</v>
      </c>
      <c r="K143" s="11">
        <v>2.4931328112167691E-4</v>
      </c>
    </row>
    <row r="144" spans="8:11">
      <c r="H144" s="41"/>
      <c r="I144" s="16">
        <v>45029</v>
      </c>
      <c r="J144" s="15">
        <v>0.82883818601439374</v>
      </c>
      <c r="K144" s="11">
        <v>2.5148100653013121E-4</v>
      </c>
    </row>
    <row r="145" spans="8:11">
      <c r="H145" s="41"/>
      <c r="I145" s="16">
        <v>45039</v>
      </c>
      <c r="J145" s="15">
        <v>0.82770283507363673</v>
      </c>
      <c r="K145" s="11">
        <v>2.5364887461516326E-4</v>
      </c>
    </row>
    <row r="146" spans="8:11">
      <c r="H146" s="41"/>
      <c r="I146" s="16">
        <v>45049</v>
      </c>
      <c r="J146" s="15">
        <v>0.82656930232596704</v>
      </c>
      <c r="K146" s="11">
        <v>2.5581897573577592E-4</v>
      </c>
    </row>
    <row r="147" spans="8:11">
      <c r="H147" s="41"/>
      <c r="I147" s="16">
        <v>45059</v>
      </c>
      <c r="J147" s="15">
        <v>0.82543724013755382</v>
      </c>
      <c r="K147" s="11">
        <v>2.5798795494829676E-4</v>
      </c>
    </row>
    <row r="148" spans="8:11">
      <c r="H148" s="41"/>
      <c r="I148" s="16">
        <v>45069</v>
      </c>
      <c r="J148" s="15">
        <v>0.82430667429088011</v>
      </c>
      <c r="K148" s="11">
        <v>2.6015475537150045E-4</v>
      </c>
    </row>
    <row r="149" spans="8:11">
      <c r="H149" s="41"/>
      <c r="I149" s="16">
        <v>45079</v>
      </c>
      <c r="J149" s="15">
        <v>0.82317780445491251</v>
      </c>
      <c r="K149" s="11">
        <v>2.6232026416042235E-4</v>
      </c>
    </row>
    <row r="150" spans="8:11">
      <c r="H150" s="41"/>
      <c r="I150" s="16">
        <v>45089</v>
      </c>
      <c r="J150" s="15">
        <v>0.82205064787690696</v>
      </c>
      <c r="K150" s="11">
        <v>2.6447345559791924E-4</v>
      </c>
    </row>
    <row r="151" spans="8:11">
      <c r="H151" s="41"/>
      <c r="I151" s="16">
        <v>45099</v>
      </c>
      <c r="J151" s="15">
        <v>0.82092504064691696</v>
      </c>
      <c r="K151" s="11">
        <v>2.6662559655812038E-4</v>
      </c>
    </row>
    <row r="152" spans="8:11">
      <c r="H152" s="41"/>
      <c r="I152" s="16">
        <v>45109</v>
      </c>
      <c r="J152" s="15">
        <v>0.81980082602896764</v>
      </c>
      <c r="K152" s="11">
        <v>2.6877000530891123E-4</v>
      </c>
    </row>
    <row r="153" spans="8:11">
      <c r="H153" s="41"/>
      <c r="I153" s="16">
        <v>45119</v>
      </c>
      <c r="J153" s="15">
        <v>0.81867797473736803</v>
      </c>
      <c r="K153" s="11">
        <v>2.7090915699348327E-4</v>
      </c>
    </row>
    <row r="154" spans="8:11">
      <c r="H154" s="41"/>
      <c r="I154" s="16">
        <v>45129</v>
      </c>
      <c r="J154" s="15">
        <v>0.81755630783359712</v>
      </c>
      <c r="K154" s="11">
        <v>2.7304199325236676E-4</v>
      </c>
    </row>
    <row r="155" spans="8:11">
      <c r="H155" s="41"/>
      <c r="I155" s="16">
        <v>45139</v>
      </c>
      <c r="J155" s="15">
        <v>0.81643646423466854</v>
      </c>
      <c r="K155" s="11">
        <v>2.7517199961285554E-4</v>
      </c>
    </row>
    <row r="156" spans="8:11">
      <c r="H156" s="41"/>
      <c r="I156" s="16">
        <v>45149</v>
      </c>
      <c r="J156" s="15">
        <v>0.81531813243185081</v>
      </c>
      <c r="K156" s="11">
        <v>2.7730315654468131E-4</v>
      </c>
    </row>
    <row r="157" spans="8:11">
      <c r="H157" s="41"/>
      <c r="I157" s="16">
        <v>45159</v>
      </c>
      <c r="J157" s="15">
        <v>0.81420127016366928</v>
      </c>
      <c r="K157" s="11">
        <v>2.7942877767150154E-4</v>
      </c>
    </row>
    <row r="158" spans="8:11">
      <c r="H158" s="41"/>
      <c r="I158" s="16">
        <v>45169</v>
      </c>
      <c r="J158" s="15">
        <v>0.81308552314124782</v>
      </c>
      <c r="K158" s="11">
        <v>2.815530933560348E-4</v>
      </c>
    </row>
    <row r="159" spans="8:11">
      <c r="H159" s="41"/>
      <c r="I159" s="16">
        <v>45179</v>
      </c>
      <c r="J159" s="15">
        <v>0.81197140571851412</v>
      </c>
      <c r="K159" s="11">
        <v>2.8368317760120313E-4</v>
      </c>
    </row>
    <row r="160" spans="8:11">
      <c r="H160" s="41"/>
      <c r="I160" s="16">
        <v>45189</v>
      </c>
      <c r="J160" s="15">
        <v>0.81085872447744523</v>
      </c>
      <c r="K160" s="11">
        <v>2.8581218407896017E-4</v>
      </c>
    </row>
    <row r="161" spans="8:11">
      <c r="H161" s="41"/>
      <c r="I161" s="16">
        <v>45199</v>
      </c>
      <c r="J161" s="15">
        <v>0.80974723381390434</v>
      </c>
      <c r="K161" s="11">
        <v>2.8794133369007037E-4</v>
      </c>
    </row>
    <row r="162" spans="8:11">
      <c r="H162" s="41"/>
      <c r="I162" s="16">
        <v>45209</v>
      </c>
      <c r="J162" s="15">
        <v>0.80863716234682415</v>
      </c>
      <c r="K162" s="11">
        <v>2.900683086696951E-4</v>
      </c>
    </row>
    <row r="163" spans="8:11">
      <c r="H163" s="41"/>
      <c r="I163" s="16">
        <v>45219</v>
      </c>
      <c r="J163" s="15">
        <v>0.80752865478104552</v>
      </c>
      <c r="K163" s="11">
        <v>2.9219212363363814E-4</v>
      </c>
    </row>
    <row r="164" spans="8:11">
      <c r="H164" s="41"/>
      <c r="I164" s="16">
        <v>45229</v>
      </c>
      <c r="J164" s="15">
        <v>0.80642178669471409</v>
      </c>
      <c r="K164" s="11">
        <v>2.9431272532188721E-4</v>
      </c>
    </row>
    <row r="165" spans="8:11">
      <c r="H165" s="41"/>
      <c r="I165" s="16">
        <v>45239</v>
      </c>
      <c r="J165" s="15">
        <v>0.80531624895514053</v>
      </c>
      <c r="K165" s="11">
        <v>2.9642911650143113E-4</v>
      </c>
    </row>
    <row r="166" spans="8:11">
      <c r="H166" s="41"/>
      <c r="I166" s="16">
        <v>45249</v>
      </c>
      <c r="J166" s="15">
        <v>0.80421217911881027</v>
      </c>
      <c r="K166" s="11">
        <v>2.98548662376211E-4</v>
      </c>
    </row>
    <row r="167" spans="8:11">
      <c r="H167" s="41"/>
      <c r="I167" s="16">
        <v>45259</v>
      </c>
      <c r="J167" s="15">
        <v>0.80310976714254523</v>
      </c>
      <c r="K167" s="11">
        <v>3.006613563436097E-4</v>
      </c>
    </row>
    <row r="168" spans="8:11">
      <c r="H168" s="41"/>
      <c r="I168" s="16">
        <v>45269</v>
      </c>
      <c r="J168" s="15">
        <v>0.80200867822400912</v>
      </c>
      <c r="K168" s="11">
        <v>3.0277014385579252E-4</v>
      </c>
    </row>
    <row r="169" spans="8:11">
      <c r="H169" s="41"/>
      <c r="I169" s="16">
        <v>45279</v>
      </c>
      <c r="J169" s="15">
        <v>0.80090940323487314</v>
      </c>
      <c r="K169" s="11">
        <v>3.0487089512377062E-4</v>
      </c>
    </row>
    <row r="170" spans="8:11">
      <c r="H170" s="41"/>
      <c r="I170" s="16">
        <v>45289</v>
      </c>
      <c r="J170" s="15">
        <v>0.7998116484286889</v>
      </c>
      <c r="K170" s="11">
        <v>3.0696548706292713E-4</v>
      </c>
    </row>
    <row r="171" spans="8:11">
      <c r="H171" s="41"/>
      <c r="I171" s="16">
        <v>45299</v>
      </c>
      <c r="J171" s="15">
        <v>0.79871548048247776</v>
      </c>
      <c r="K171" s="11">
        <v>3.0906150704282571E-4</v>
      </c>
    </row>
    <row r="172" spans="8:11">
      <c r="H172" s="41"/>
      <c r="I172" s="16">
        <v>45309</v>
      </c>
      <c r="J172" s="15">
        <v>0.79762087304384255</v>
      </c>
      <c r="K172" s="11">
        <v>3.1115145957116705E-4</v>
      </c>
    </row>
    <row r="173" spans="8:11">
      <c r="H173" s="41"/>
      <c r="I173" s="16">
        <v>45319</v>
      </c>
      <c r="J173" s="15">
        <v>0.79652756732897778</v>
      </c>
      <c r="K173" s="11">
        <v>3.1324331881152888E-4</v>
      </c>
    </row>
    <row r="174" spans="8:11">
      <c r="H174" s="41"/>
      <c r="I174" s="16">
        <v>45329</v>
      </c>
      <c r="J174" s="15">
        <v>0.79543562048156058</v>
      </c>
      <c r="K174" s="11">
        <v>3.1533611224799773E-4</v>
      </c>
    </row>
    <row r="175" spans="8:11">
      <c r="H175" s="41"/>
      <c r="I175" s="16">
        <v>45339</v>
      </c>
      <c r="J175" s="15">
        <v>0.79434514810995993</v>
      </c>
      <c r="K175" s="11">
        <v>3.1742637331729596E-4</v>
      </c>
    </row>
    <row r="176" spans="8:11">
      <c r="H176" s="41"/>
      <c r="I176" s="16">
        <v>45349</v>
      </c>
      <c r="J176" s="15">
        <v>0.79325597823446459</v>
      </c>
      <c r="K176" s="11">
        <v>3.1951826187105622E-4</v>
      </c>
    </row>
    <row r="177" spans="8:11">
      <c r="H177" s="41"/>
      <c r="I177" s="16">
        <v>45359</v>
      </c>
      <c r="J177" s="15">
        <v>0.79216819343888156</v>
      </c>
      <c r="K177" s="11">
        <v>3.2160009059061662E-4</v>
      </c>
    </row>
    <row r="178" spans="8:11">
      <c r="H178" s="41"/>
      <c r="I178" s="16">
        <v>45369</v>
      </c>
      <c r="J178" s="15">
        <v>0.7910815166568268</v>
      </c>
      <c r="K178" s="11">
        <v>3.2368156526466643E-4</v>
      </c>
    </row>
    <row r="179" spans="8:11">
      <c r="H179" s="41"/>
      <c r="I179" s="16">
        <v>45379</v>
      </c>
      <c r="J179" s="15">
        <v>0.78999618375972536</v>
      </c>
      <c r="K179" s="11">
        <v>3.2575691654455701E-4</v>
      </c>
    </row>
    <row r="180" spans="8:11">
      <c r="H180" s="41"/>
      <c r="I180" s="16">
        <v>45389</v>
      </c>
      <c r="J180" s="15">
        <v>0.78891209918537564</v>
      </c>
      <c r="K180" s="11">
        <v>3.2783176628905348E-4</v>
      </c>
    </row>
    <row r="181" spans="8:11">
      <c r="H181" s="41"/>
      <c r="I181" s="16">
        <v>45399</v>
      </c>
      <c r="J181" s="15">
        <v>0.78782944119644838</v>
      </c>
      <c r="K181" s="11">
        <v>3.2990350999303195E-4</v>
      </c>
    </row>
    <row r="182" spans="8:11">
      <c r="H182" s="41"/>
      <c r="I182" s="16">
        <v>45409</v>
      </c>
      <c r="J182" s="15">
        <v>0.78674814504607216</v>
      </c>
      <c r="K182" s="11">
        <v>3.3196794162132612E-4</v>
      </c>
    </row>
    <row r="183" spans="8:11">
      <c r="H183" s="41"/>
      <c r="I183" s="16">
        <v>45419</v>
      </c>
      <c r="J183" s="15">
        <v>0.78566873115159663</v>
      </c>
      <c r="K183" s="11">
        <v>3.340252398663038E-4</v>
      </c>
    </row>
    <row r="184" spans="8:11">
      <c r="H184" s="41"/>
      <c r="I184" s="16">
        <v>45429</v>
      </c>
      <c r="J184" s="15">
        <v>0.78459071871131025</v>
      </c>
      <c r="K184" s="11">
        <v>3.3607925877974674E-4</v>
      </c>
    </row>
    <row r="185" spans="8:11">
      <c r="H185" s="41"/>
      <c r="I185" s="16">
        <v>45439</v>
      </c>
      <c r="J185" s="15">
        <v>0.78351404566214766</v>
      </c>
      <c r="K185" s="11">
        <v>3.3812816245978866E-4</v>
      </c>
    </row>
    <row r="186" spans="8:11">
      <c r="H186" s="41"/>
      <c r="I186" s="16">
        <v>45449</v>
      </c>
      <c r="J186" s="15">
        <v>0.78243861055124042</v>
      </c>
      <c r="K186" s="11">
        <v>3.4018077345234458E-4</v>
      </c>
    </row>
    <row r="187" spans="8:11">
      <c r="H187" s="41"/>
      <c r="I187" s="16">
        <v>45459</v>
      </c>
      <c r="J187" s="15">
        <v>0.78136459467454777</v>
      </c>
      <c r="K187" s="11">
        <v>3.422229694984681E-4</v>
      </c>
    </row>
    <row r="188" spans="8:11">
      <c r="H188" s="41"/>
      <c r="I188" s="16" t="s">
        <v>8</v>
      </c>
      <c r="J188" s="15" t="s">
        <v>18</v>
      </c>
      <c r="K188" s="11" t="s">
        <v>4</v>
      </c>
    </row>
    <row r="189" spans="8:11">
      <c r="H189" s="41"/>
      <c r="I189" s="16">
        <v>43657</v>
      </c>
      <c r="J189" s="15">
        <v>1.0000000000000937</v>
      </c>
      <c r="K189" s="11">
        <v>0</v>
      </c>
    </row>
    <row r="190" spans="8:11">
      <c r="H190" s="41"/>
      <c r="I190" s="16">
        <v>43667</v>
      </c>
      <c r="J190" s="15">
        <v>0.99835863803819613</v>
      </c>
      <c r="K190" s="11">
        <v>1.6421538289182439E-8</v>
      </c>
    </row>
    <row r="191" spans="8:11">
      <c r="H191" s="41"/>
      <c r="I191" s="16">
        <v>43677</v>
      </c>
      <c r="J191" s="15">
        <v>0.99671849011021851</v>
      </c>
      <c r="K191" s="11">
        <v>1.6394560327808905E-8</v>
      </c>
    </row>
    <row r="192" spans="8:11">
      <c r="H192" s="41"/>
      <c r="I192" s="16">
        <v>43688</v>
      </c>
      <c r="J192" s="15">
        <v>0.99491598724810038</v>
      </c>
      <c r="K192" s="11">
        <v>1.6364911729889312E-8</v>
      </c>
    </row>
    <row r="193" spans="8:11">
      <c r="H193" s="41"/>
      <c r="I193" s="16">
        <v>43698</v>
      </c>
      <c r="J193" s="15">
        <v>0.99327852311236464</v>
      </c>
      <c r="K193" s="11">
        <v>1.7227027953815514E-6</v>
      </c>
    </row>
    <row r="194" spans="8:11">
      <c r="H194" s="41"/>
      <c r="I194" s="16">
        <v>43708</v>
      </c>
      <c r="J194" s="15">
        <v>0.99164203772626036</v>
      </c>
      <c r="K194" s="11">
        <v>2.496590709009735E-6</v>
      </c>
    </row>
    <row r="195" spans="8:11">
      <c r="H195" s="41"/>
      <c r="I195" s="16">
        <v>43718</v>
      </c>
      <c r="J195" s="15">
        <v>0.99000623180263003</v>
      </c>
      <c r="K195" s="11">
        <v>3.3589469850679996E-6</v>
      </c>
    </row>
    <row r="196" spans="8:11">
      <c r="H196" s="41"/>
      <c r="I196" s="16">
        <v>43729</v>
      </c>
      <c r="J196" s="15">
        <v>0.98820806120039062</v>
      </c>
      <c r="K196" s="11">
        <v>4.4021729059476802E-6</v>
      </c>
    </row>
    <row r="197" spans="8:11">
      <c r="H197" s="41"/>
      <c r="I197" s="16">
        <v>43739</v>
      </c>
      <c r="J197" s="15">
        <v>0.98657444823815021</v>
      </c>
      <c r="K197" s="11">
        <v>5.4204296402215116E-6</v>
      </c>
    </row>
    <row r="198" spans="8:11">
      <c r="H198" s="41"/>
      <c r="I198" s="16">
        <v>43749</v>
      </c>
      <c r="J198" s="15">
        <v>0.98494199998463638</v>
      </c>
      <c r="K198" s="11">
        <v>6.509148659983964E-6</v>
      </c>
    </row>
    <row r="199" spans="8:11">
      <c r="H199" s="41"/>
      <c r="I199" s="16">
        <v>43759</v>
      </c>
      <c r="J199" s="15">
        <v>0.98331112592160685</v>
      </c>
      <c r="K199" s="11">
        <v>7.6491561271807833E-6</v>
      </c>
    </row>
    <row r="200" spans="8:11">
      <c r="H200" s="41"/>
      <c r="I200" s="16">
        <v>43769</v>
      </c>
      <c r="J200" s="15">
        <v>0.98168103949207897</v>
      </c>
      <c r="K200" s="11">
        <v>8.8423162947675542E-6</v>
      </c>
    </row>
    <row r="201" spans="8:11">
      <c r="H201" s="41"/>
      <c r="I201" s="16">
        <v>43779</v>
      </c>
      <c r="J201" s="15">
        <v>0.98005239184791038</v>
      </c>
      <c r="K201" s="11">
        <v>1.0083324438354252E-5</v>
      </c>
    </row>
    <row r="202" spans="8:11">
      <c r="H202" s="41"/>
      <c r="I202" s="16">
        <v>43789</v>
      </c>
      <c r="J202" s="15">
        <v>0.97842506036972376</v>
      </c>
      <c r="K202" s="11">
        <v>1.1374899978440493E-5</v>
      </c>
    </row>
    <row r="203" spans="8:11">
      <c r="H203" s="41"/>
      <c r="I203" s="16">
        <v>43799</v>
      </c>
      <c r="J203" s="15">
        <v>0.97679845619465899</v>
      </c>
      <c r="K203" s="11">
        <v>1.2713685320820599E-5</v>
      </c>
    </row>
    <row r="204" spans="8:11">
      <c r="H204" s="41"/>
      <c r="I204" s="16">
        <v>43809</v>
      </c>
      <c r="J204" s="15">
        <v>0.9751723821991537</v>
      </c>
      <c r="K204" s="11">
        <v>1.4097254422762373E-5</v>
      </c>
    </row>
    <row r="205" spans="8:11">
      <c r="H205" s="41"/>
      <c r="I205" s="16">
        <v>43819</v>
      </c>
      <c r="J205" s="15">
        <v>0.97354764469076027</v>
      </c>
      <c r="K205" s="11">
        <v>1.5525622868827176E-5</v>
      </c>
    </row>
    <row r="206" spans="8:11">
      <c r="H206" s="41"/>
      <c r="I206" s="16">
        <v>43829</v>
      </c>
      <c r="J206" s="15">
        <v>0.97192431264072898</v>
      </c>
      <c r="K206" s="11">
        <v>1.6989693784708112E-5</v>
      </c>
    </row>
    <row r="207" spans="8:11">
      <c r="H207" s="41"/>
      <c r="I207" s="16">
        <v>43839</v>
      </c>
      <c r="J207" s="15">
        <v>0.97030233712598435</v>
      </c>
      <c r="K207" s="11">
        <v>1.8496918041610153E-5</v>
      </c>
    </row>
    <row r="208" spans="8:11">
      <c r="H208" s="41"/>
      <c r="I208" s="16">
        <v>43849</v>
      </c>
      <c r="J208" s="15">
        <v>0.96868156497407609</v>
      </c>
      <c r="K208" s="11">
        <v>2.0038778912616975E-5</v>
      </c>
    </row>
    <row r="209" spans="8:11">
      <c r="H209" s="41"/>
      <c r="I209" s="16">
        <v>43859</v>
      </c>
      <c r="J209" s="15">
        <v>0.96706215949982288</v>
      </c>
      <c r="K209" s="11">
        <v>2.161516344527131E-5</v>
      </c>
    </row>
    <row r="210" spans="8:11">
      <c r="H210" s="41"/>
      <c r="I210" s="16">
        <v>43869</v>
      </c>
      <c r="J210" s="15">
        <v>0.96544428690246797</v>
      </c>
      <c r="K210" s="11">
        <v>2.3223633260833997E-5</v>
      </c>
    </row>
    <row r="211" spans="8:11">
      <c r="H211" s="41"/>
      <c r="I211" s="16">
        <v>43879</v>
      </c>
      <c r="J211" s="15">
        <v>0.96382774066778365</v>
      </c>
      <c r="K211" s="11">
        <v>2.4865000721132094E-5</v>
      </c>
    </row>
    <row r="212" spans="8:11">
      <c r="H212" s="41"/>
      <c r="I212" s="16">
        <v>43889</v>
      </c>
      <c r="J212" s="15">
        <v>0.96221210935694579</v>
      </c>
      <c r="K212" s="11">
        <v>2.6537942635317062E-5</v>
      </c>
    </row>
    <row r="213" spans="8:11">
      <c r="H213" s="41"/>
      <c r="I213" s="16">
        <v>43899</v>
      </c>
      <c r="J213" s="15">
        <v>0.96059792541727529</v>
      </c>
      <c r="K213" s="11">
        <v>2.8235652261798741E-5</v>
      </c>
    </row>
    <row r="214" spans="8:11">
      <c r="H214" s="41"/>
      <c r="I214" s="16">
        <v>43909</v>
      </c>
      <c r="J214" s="15">
        <v>0.95898448826452609</v>
      </c>
      <c r="K214" s="11">
        <v>2.9960641019484114E-5</v>
      </c>
    </row>
    <row r="215" spans="8:11">
      <c r="H215" s="41"/>
      <c r="I215" s="16">
        <v>43919</v>
      </c>
      <c r="J215" s="15">
        <v>0.95737253088364582</v>
      </c>
      <c r="K215" s="11">
        <v>3.1710255282919938E-5</v>
      </c>
    </row>
    <row r="216" spans="8:11">
      <c r="H216" s="41"/>
      <c r="I216" s="16">
        <v>43929</v>
      </c>
      <c r="J216" s="15">
        <v>0.95576231792350819</v>
      </c>
      <c r="K216" s="11">
        <v>3.3484639887152454E-5</v>
      </c>
    </row>
    <row r="217" spans="8:11">
      <c r="H217" s="41"/>
      <c r="I217" s="16">
        <v>43939</v>
      </c>
      <c r="J217" s="15">
        <v>0.95415340080762434</v>
      </c>
      <c r="K217" s="11">
        <v>3.52873130276854E-5</v>
      </c>
    </row>
    <row r="218" spans="8:11">
      <c r="H218" s="41"/>
      <c r="I218" s="16">
        <v>43949</v>
      </c>
      <c r="J218" s="15">
        <v>0.95254576078895281</v>
      </c>
      <c r="K218" s="11">
        <v>3.7116495558586159E-5</v>
      </c>
    </row>
    <row r="219" spans="8:11">
      <c r="H219" s="41"/>
      <c r="I219" s="16">
        <v>43959</v>
      </c>
      <c r="J219" s="15">
        <v>0.95093966137187425</v>
      </c>
      <c r="K219" s="11">
        <v>3.8974424465057764E-5</v>
      </c>
    </row>
    <row r="220" spans="8:11">
      <c r="H220" s="41"/>
      <c r="I220" s="16">
        <v>43969</v>
      </c>
      <c r="J220" s="15">
        <v>0.94933495462079054</v>
      </c>
      <c r="K220" s="11">
        <v>4.0863983705453227E-5</v>
      </c>
    </row>
    <row r="221" spans="8:11">
      <c r="H221" s="41"/>
      <c r="I221" s="16">
        <v>43979</v>
      </c>
      <c r="J221" s="15">
        <v>0.94773158582968076</v>
      </c>
      <c r="K221" s="11">
        <v>4.2774501660066746E-5</v>
      </c>
    </row>
    <row r="222" spans="8:11">
      <c r="H222" s="41"/>
      <c r="I222" s="16">
        <v>43989</v>
      </c>
      <c r="J222" s="15">
        <v>0.94612948209121872</v>
      </c>
      <c r="K222" s="11">
        <v>4.4709766313387293E-5</v>
      </c>
    </row>
    <row r="223" spans="8:11">
      <c r="H223" s="41"/>
      <c r="I223" s="16">
        <v>43999</v>
      </c>
      <c r="J223" s="15">
        <v>0.94452884854721031</v>
      </c>
      <c r="K223" s="11">
        <v>4.6662984316929459E-5</v>
      </c>
    </row>
    <row r="224" spans="8:11">
      <c r="H224" s="41"/>
      <c r="I224" s="16">
        <v>44009</v>
      </c>
      <c r="J224" s="15">
        <v>0.94292984115322476</v>
      </c>
      <c r="K224" s="11">
        <v>4.8643137452099244E-5</v>
      </c>
    </row>
    <row r="225" spans="8:11">
      <c r="H225" s="41"/>
      <c r="I225" s="16">
        <v>44019</v>
      </c>
      <c r="J225" s="15">
        <v>0.94133268052982155</v>
      </c>
      <c r="K225" s="11">
        <v>5.0644902990751649E-5</v>
      </c>
    </row>
    <row r="226" spans="8:11">
      <c r="H226" s="41"/>
      <c r="I226" s="16">
        <v>44029</v>
      </c>
      <c r="J226" s="15">
        <v>0.9397365021770383</v>
      </c>
      <c r="K226" s="11">
        <v>5.2670533940274016E-5</v>
      </c>
    </row>
    <row r="227" spans="8:11">
      <c r="H227" s="41"/>
      <c r="I227" s="16">
        <v>44039</v>
      </c>
      <c r="J227" s="15">
        <v>0.93814154749740353</v>
      </c>
      <c r="K227" s="11">
        <v>5.4708642624823464E-5</v>
      </c>
    </row>
    <row r="228" spans="8:11">
      <c r="H228" s="41"/>
      <c r="I228" s="16">
        <v>44049</v>
      </c>
      <c r="J228" s="15">
        <v>0.93654790011085765</v>
      </c>
      <c r="K228" s="11">
        <v>5.6757878738860559E-5</v>
      </c>
    </row>
    <row r="229" spans="8:11">
      <c r="H229" s="41"/>
      <c r="I229" s="16">
        <v>44059</v>
      </c>
      <c r="J229" s="15">
        <v>0.9349556880781893</v>
      </c>
      <c r="K229" s="11">
        <v>5.8816813437593258E-5</v>
      </c>
    </row>
    <row r="230" spans="8:11">
      <c r="H230" s="41"/>
      <c r="I230" s="16">
        <v>44069</v>
      </c>
      <c r="J230" s="15">
        <v>0.93336521094216807</v>
      </c>
      <c r="K230" s="11">
        <v>6.0897078963933316E-5</v>
      </c>
    </row>
    <row r="231" spans="8:11">
      <c r="H231" s="41"/>
      <c r="I231" s="16">
        <v>44079</v>
      </c>
      <c r="J231" s="15">
        <v>0.93177549283736216</v>
      </c>
      <c r="K231" s="11">
        <v>6.2992963621273754E-5</v>
      </c>
    </row>
    <row r="232" spans="8:11">
      <c r="H232" s="41"/>
      <c r="I232" s="16">
        <v>44089</v>
      </c>
      <c r="J232" s="15">
        <v>0.93018715687934583</v>
      </c>
      <c r="K232" s="11">
        <v>6.5109319372280036E-5</v>
      </c>
    </row>
    <row r="233" spans="8:11">
      <c r="H233" s="41"/>
      <c r="I233" s="16">
        <v>44099</v>
      </c>
      <c r="J233" s="15">
        <v>0.92860028564996555</v>
      </c>
      <c r="K233" s="11">
        <v>6.7238611885623111E-5</v>
      </c>
    </row>
    <row r="234" spans="8:11">
      <c r="H234" s="41"/>
      <c r="I234" s="16">
        <v>44109</v>
      </c>
      <c r="J234" s="15">
        <v>0.92701444671634192</v>
      </c>
      <c r="K234" s="11">
        <v>6.9386241351314872E-5</v>
      </c>
    </row>
    <row r="235" spans="8:11">
      <c r="H235" s="41"/>
      <c r="I235" s="16">
        <v>44119</v>
      </c>
      <c r="J235" s="15">
        <v>0.92543009838593338</v>
      </c>
      <c r="K235" s="11">
        <v>7.1554648865660786E-5</v>
      </c>
    </row>
    <row r="236" spans="8:11">
      <c r="H236" s="41"/>
      <c r="I236" s="16">
        <v>44129</v>
      </c>
      <c r="J236" s="15">
        <v>0.92384732879837639</v>
      </c>
      <c r="K236" s="11">
        <v>7.3745489241636969E-5</v>
      </c>
    </row>
    <row r="237" spans="8:11">
      <c r="H237" s="41"/>
      <c r="I237" s="16">
        <v>44139</v>
      </c>
      <c r="J237" s="15">
        <v>0.92226608716558689</v>
      </c>
      <c r="K237" s="11">
        <v>7.5945140384258775E-5</v>
      </c>
    </row>
    <row r="238" spans="8:11">
      <c r="H238" s="41"/>
      <c r="I238" s="16">
        <v>44149</v>
      </c>
      <c r="J238" s="15">
        <v>0.92068632521685945</v>
      </c>
      <c r="K238" s="11">
        <v>7.8151408352104549E-5</v>
      </c>
    </row>
    <row r="239" spans="8:11">
      <c r="H239" s="41"/>
      <c r="I239" s="16">
        <v>44159</v>
      </c>
      <c r="J239" s="15">
        <v>0.91910867178067346</v>
      </c>
      <c r="K239" s="11">
        <v>8.0366018884117668E-5</v>
      </c>
    </row>
    <row r="240" spans="8:11">
      <c r="H240" s="41"/>
      <c r="I240" s="16">
        <v>44169</v>
      </c>
      <c r="J240" s="15">
        <v>0.9175324714782791</v>
      </c>
      <c r="K240" s="11">
        <v>8.2584195968801022E-5</v>
      </c>
    </row>
    <row r="241" spans="8:11">
      <c r="H241" s="41"/>
      <c r="I241" s="16">
        <v>44179</v>
      </c>
      <c r="J241" s="15">
        <v>0.91595794413910814</v>
      </c>
      <c r="K241" s="11">
        <v>8.4817005330773865E-5</v>
      </c>
    </row>
    <row r="242" spans="8:11">
      <c r="H242" s="41"/>
      <c r="I242" s="16">
        <v>44189</v>
      </c>
      <c r="J242" s="15">
        <v>0.91438442318490409</v>
      </c>
      <c r="K242" s="11">
        <v>8.7062056550345652E-5</v>
      </c>
    </row>
    <row r="243" spans="8:11">
      <c r="H243" s="41"/>
      <c r="I243" s="16">
        <v>44199</v>
      </c>
      <c r="J243" s="15">
        <v>0.91281243271934742</v>
      </c>
      <c r="K243" s="11">
        <v>8.9310104488596429E-5</v>
      </c>
    </row>
    <row r="244" spans="8:11">
      <c r="H244" s="41"/>
      <c r="I244" s="16">
        <v>44209</v>
      </c>
      <c r="J244" s="15">
        <v>0.91124175541218566</v>
      </c>
      <c r="K244" s="11">
        <v>9.1567327106973248E-5</v>
      </c>
    </row>
    <row r="245" spans="8:11">
      <c r="H245" s="41"/>
      <c r="I245" s="16">
        <v>44219</v>
      </c>
      <c r="J245" s="15">
        <v>0.90967275925677371</v>
      </c>
      <c r="K245" s="11">
        <v>9.3835527362655347E-5</v>
      </c>
    </row>
    <row r="246" spans="8:11">
      <c r="H246" s="41"/>
      <c r="I246" s="16">
        <v>44229</v>
      </c>
      <c r="J246" s="15">
        <v>0.90810512221459061</v>
      </c>
      <c r="K246" s="11">
        <v>9.6119034193816147E-5</v>
      </c>
    </row>
    <row r="247" spans="8:11">
      <c r="H247" s="41"/>
      <c r="I247" s="16">
        <v>44239</v>
      </c>
      <c r="J247" s="15">
        <v>0.90653951370466335</v>
      </c>
      <c r="K247" s="11">
        <v>9.8412266172410331E-5</v>
      </c>
    </row>
    <row r="248" spans="8:11">
      <c r="H248" s="41"/>
      <c r="I248" s="16">
        <v>44249</v>
      </c>
      <c r="J248" s="15">
        <v>0.90497516728148997</v>
      </c>
      <c r="K248" s="11">
        <v>1.0070863955301332E-4</v>
      </c>
    </row>
    <row r="249" spans="8:11">
      <c r="H249" s="41"/>
      <c r="I249" s="16">
        <v>44259</v>
      </c>
      <c r="J249" s="15">
        <v>0.90341244167883417</v>
      </c>
      <c r="K249" s="11">
        <v>1.0300746819504646E-4</v>
      </c>
    </row>
    <row r="250" spans="8:11">
      <c r="H250" s="41"/>
      <c r="I250" s="16">
        <v>44269</v>
      </c>
      <c r="J250" s="15">
        <v>0.90185104970957353</v>
      </c>
      <c r="K250" s="11">
        <v>1.0531633921063965E-4</v>
      </c>
    </row>
    <row r="251" spans="8:11">
      <c r="H251" s="41"/>
      <c r="I251" s="16">
        <v>44279</v>
      </c>
      <c r="J251" s="15">
        <v>0.90029112981834203</v>
      </c>
      <c r="K251" s="11">
        <v>1.0763327241118823E-4</v>
      </c>
    </row>
    <row r="252" spans="8:11">
      <c r="H252" s="41"/>
      <c r="I252" s="16">
        <v>44289</v>
      </c>
      <c r="J252" s="15">
        <v>0.8987329670693015</v>
      </c>
      <c r="K252" s="11">
        <v>1.0995616411896938E-4</v>
      </c>
    </row>
    <row r="253" spans="8:11">
      <c r="H253" s="41"/>
      <c r="I253" s="16">
        <v>44299</v>
      </c>
      <c r="J253" s="15">
        <v>0.89717652400884951</v>
      </c>
      <c r="K253" s="11">
        <v>1.122867229990823E-4</v>
      </c>
    </row>
    <row r="254" spans="8:11">
      <c r="H254" s="41"/>
      <c r="I254" s="16">
        <v>44309</v>
      </c>
      <c r="J254" s="15">
        <v>0.89562144147358125</v>
      </c>
      <c r="K254" s="11">
        <v>1.1462529600564887E-4</v>
      </c>
    </row>
    <row r="255" spans="8:11">
      <c r="H255" s="41"/>
      <c r="I255" s="16">
        <v>44319</v>
      </c>
      <c r="J255" s="15">
        <v>0.89406753779622927</v>
      </c>
      <c r="K255" s="11">
        <v>1.1697193249327684E-4</v>
      </c>
    </row>
    <row r="256" spans="8:11">
      <c r="H256" s="41"/>
      <c r="I256" s="16">
        <v>44329</v>
      </c>
      <c r="J256" s="15">
        <v>0.89251518826875664</v>
      </c>
      <c r="K256" s="11">
        <v>1.1932051230960684E-4</v>
      </c>
    </row>
    <row r="257" spans="8:11">
      <c r="H257" s="41"/>
      <c r="I257" s="16">
        <v>44339</v>
      </c>
      <c r="J257" s="15">
        <v>0.89096484371255369</v>
      </c>
      <c r="K257" s="11">
        <v>1.2167326538142711E-4</v>
      </c>
    </row>
    <row r="258" spans="8:11">
      <c r="H258" s="41"/>
      <c r="I258" s="16">
        <v>44349</v>
      </c>
      <c r="J258" s="15">
        <v>0.88941624779533579</v>
      </c>
      <c r="K258" s="11">
        <v>1.2402719161796691E-4</v>
      </c>
    </row>
    <row r="259" spans="8:11">
      <c r="H259" s="41"/>
      <c r="I259" s="16">
        <v>44359</v>
      </c>
      <c r="J259" s="15">
        <v>0.88786900237044275</v>
      </c>
      <c r="K259" s="11">
        <v>1.2638495865537083E-4</v>
      </c>
    </row>
    <row r="260" spans="8:11">
      <c r="H260" s="41"/>
      <c r="I260" s="16">
        <v>44369</v>
      </c>
      <c r="J260" s="15">
        <v>0.88632327323495774</v>
      </c>
      <c r="K260" s="11">
        <v>1.2874653657415295E-4</v>
      </c>
    </row>
    <row r="261" spans="8:11">
      <c r="H261" s="41"/>
      <c r="I261" s="16">
        <v>44379</v>
      </c>
      <c r="J261" s="15">
        <v>0.88477908411577466</v>
      </c>
      <c r="K261" s="11">
        <v>1.3111167566125031E-4</v>
      </c>
    </row>
    <row r="262" spans="8:11">
      <c r="H262" s="41"/>
      <c r="I262" s="16">
        <v>44389</v>
      </c>
      <c r="J262" s="15">
        <v>0.88323635572864712</v>
      </c>
      <c r="K262" s="11">
        <v>1.3348306066864987E-4</v>
      </c>
    </row>
    <row r="263" spans="8:11">
      <c r="H263" s="41"/>
      <c r="I263" s="16">
        <v>44399</v>
      </c>
      <c r="J263" s="15">
        <v>0.88169504242834662</v>
      </c>
      <c r="K263" s="11">
        <v>1.3585731092416098E-4</v>
      </c>
    </row>
    <row r="264" spans="8:11">
      <c r="H264" s="41"/>
      <c r="I264" s="16">
        <v>44409</v>
      </c>
      <c r="J264" s="15">
        <v>0.88015563197918623</v>
      </c>
      <c r="K264" s="11">
        <v>1.3824038862035446E-4</v>
      </c>
    </row>
    <row r="265" spans="8:11">
      <c r="H265" s="41"/>
      <c r="I265" s="16">
        <v>44419</v>
      </c>
      <c r="J265" s="15">
        <v>0.87861738343715323</v>
      </c>
      <c r="K265" s="11">
        <v>1.4062247490229855E-4</v>
      </c>
    </row>
    <row r="266" spans="8:11">
      <c r="H266" s="41"/>
      <c r="I266" s="16">
        <v>44429</v>
      </c>
      <c r="J266" s="15">
        <v>0.87708130796306905</v>
      </c>
      <c r="K266" s="11">
        <v>1.4300961258809241E-4</v>
      </c>
    </row>
    <row r="267" spans="8:11">
      <c r="H267" s="41"/>
      <c r="I267" s="16">
        <v>44439</v>
      </c>
      <c r="J267" s="15">
        <v>0.87554643721955583</v>
      </c>
      <c r="K267" s="11">
        <v>1.4539761075296452E-4</v>
      </c>
    </row>
    <row r="268" spans="8:11">
      <c r="H268" s="41"/>
      <c r="I268" s="16">
        <v>44449</v>
      </c>
      <c r="J268" s="15">
        <v>0.87401311273792726</v>
      </c>
      <c r="K268" s="11">
        <v>1.4778731886253382E-4</v>
      </c>
    </row>
    <row r="269" spans="8:11">
      <c r="H269" s="41"/>
      <c r="I269" s="16">
        <v>44459</v>
      </c>
      <c r="J269" s="15">
        <v>0.87248122062997502</v>
      </c>
      <c r="K269" s="11">
        <v>1.5018335837125552E-4</v>
      </c>
    </row>
    <row r="270" spans="8:11">
      <c r="H270" s="41"/>
      <c r="I270" s="16">
        <v>44469</v>
      </c>
      <c r="J270" s="15">
        <v>0.87095111844126638</v>
      </c>
      <c r="K270" s="11">
        <v>1.5258465397020236E-4</v>
      </c>
    </row>
    <row r="271" spans="8:11">
      <c r="H271" s="41"/>
      <c r="I271" s="16">
        <v>44479</v>
      </c>
      <c r="J271" s="15">
        <v>0.86942262884532828</v>
      </c>
      <c r="K271" s="11">
        <v>1.5498848650809466E-4</v>
      </c>
    </row>
    <row r="272" spans="8:11">
      <c r="H272" s="41"/>
      <c r="I272" s="16">
        <v>44489</v>
      </c>
      <c r="J272" s="15">
        <v>0.86789575634705651</v>
      </c>
      <c r="K272" s="11">
        <v>1.5739002694257717E-4</v>
      </c>
    </row>
    <row r="273" spans="8:11">
      <c r="H273" s="41"/>
      <c r="I273" s="16">
        <v>44499</v>
      </c>
      <c r="J273" s="15">
        <v>0.86637045571363824</v>
      </c>
      <c r="K273" s="11">
        <v>1.597964407826237E-4</v>
      </c>
    </row>
    <row r="274" spans="8:11">
      <c r="H274" s="41"/>
      <c r="I274" s="16">
        <v>44509</v>
      </c>
      <c r="J274" s="15">
        <v>0.86484719606956151</v>
      </c>
      <c r="K274" s="11">
        <v>1.6220811031658378E-4</v>
      </c>
    </row>
    <row r="275" spans="8:11">
      <c r="H275" s="41"/>
      <c r="I275" s="16">
        <v>44519</v>
      </c>
      <c r="J275" s="15">
        <v>0.86332544798378108</v>
      </c>
      <c r="K275" s="11">
        <v>1.6462688524421782E-4</v>
      </c>
    </row>
    <row r="276" spans="8:11">
      <c r="H276" s="41"/>
      <c r="I276" s="16">
        <v>44529</v>
      </c>
      <c r="J276" s="15">
        <v>0.86180576512278528</v>
      </c>
      <c r="K276" s="11">
        <v>1.670494501018992E-4</v>
      </c>
    </row>
    <row r="277" spans="8:11">
      <c r="H277" s="41"/>
      <c r="I277" s="16">
        <v>44539</v>
      </c>
      <c r="J277" s="15">
        <v>0.86028759074417216</v>
      </c>
      <c r="K277" s="11">
        <v>1.6948179765668051E-4</v>
      </c>
    </row>
    <row r="278" spans="8:11">
      <c r="H278" s="41"/>
      <c r="I278" s="16">
        <v>44549</v>
      </c>
      <c r="J278" s="15">
        <v>0.85877110930276324</v>
      </c>
      <c r="K278" s="11">
        <v>1.7190967481402059E-4</v>
      </c>
    </row>
    <row r="279" spans="8:11">
      <c r="H279" s="41"/>
      <c r="I279" s="16">
        <v>44559</v>
      </c>
      <c r="J279" s="15">
        <v>0.85725601130524787</v>
      </c>
      <c r="K279" s="11">
        <v>1.7433633724837265E-4</v>
      </c>
    </row>
    <row r="280" spans="8:11">
      <c r="H280" s="41"/>
      <c r="I280" s="16">
        <v>44569</v>
      </c>
      <c r="J280" s="15">
        <v>0.85574265721976761</v>
      </c>
      <c r="K280" s="11">
        <v>1.7676231536954665E-4</v>
      </c>
    </row>
    <row r="281" spans="8:11">
      <c r="H281" s="41"/>
      <c r="I281" s="16">
        <v>44579</v>
      </c>
      <c r="J281" s="15">
        <v>0.85423067555404808</v>
      </c>
      <c r="K281" s="11">
        <v>1.7918572637718792E-4</v>
      </c>
    </row>
    <row r="282" spans="8:11">
      <c r="H282" s="41"/>
      <c r="I282" s="16">
        <v>44589</v>
      </c>
      <c r="J282" s="15">
        <v>0.8527202151942026</v>
      </c>
      <c r="K282" s="11">
        <v>1.8160474934173212E-4</v>
      </c>
    </row>
    <row r="283" spans="8:11">
      <c r="H283" s="41"/>
      <c r="I283" s="16">
        <v>44599</v>
      </c>
      <c r="J283" s="15">
        <v>0.85121137840881544</v>
      </c>
      <c r="K283" s="11">
        <v>1.8402476445208833E-4</v>
      </c>
    </row>
    <row r="284" spans="8:11">
      <c r="H284" s="41"/>
      <c r="I284" s="16">
        <v>44609</v>
      </c>
      <c r="J284" s="15">
        <v>0.849704269969902</v>
      </c>
      <c r="K284" s="11">
        <v>1.8644093963420113E-4</v>
      </c>
    </row>
    <row r="285" spans="8:11">
      <c r="H285" s="41"/>
      <c r="I285" s="16">
        <v>44619</v>
      </c>
      <c r="J285" s="15">
        <v>0.8481988398431145</v>
      </c>
      <c r="K285" s="11">
        <v>1.8886061585178673E-4</v>
      </c>
    </row>
    <row r="286" spans="8:11">
      <c r="H286" s="41"/>
      <c r="I286" s="16">
        <v>44629</v>
      </c>
      <c r="J286" s="15">
        <v>0.84669528100438163</v>
      </c>
      <c r="K286" s="11">
        <v>1.9128385616152727E-4</v>
      </c>
    </row>
    <row r="287" spans="8:11">
      <c r="H287" s="41"/>
      <c r="I287" s="16">
        <v>44639</v>
      </c>
      <c r="J287" s="15">
        <v>0.84519329314686853</v>
      </c>
      <c r="K287" s="11">
        <v>1.9370729684906027E-4</v>
      </c>
    </row>
    <row r="288" spans="8:11">
      <c r="H288" s="41"/>
      <c r="I288" s="16">
        <v>44649</v>
      </c>
      <c r="J288" s="15">
        <v>0.84369279882989545</v>
      </c>
      <c r="K288" s="11">
        <v>1.9612822540218824E-4</v>
      </c>
    </row>
    <row r="289" spans="8:11">
      <c r="H289" s="41"/>
      <c r="I289" s="16">
        <v>44659</v>
      </c>
      <c r="J289" s="15">
        <v>0.84219403030236828</v>
      </c>
      <c r="K289" s="11">
        <v>1.9854963160927699E-4</v>
      </c>
    </row>
    <row r="290" spans="8:11">
      <c r="H290" s="41"/>
      <c r="I290" s="16">
        <v>44669</v>
      </c>
      <c r="J290" s="15">
        <v>0.84069720631535538</v>
      </c>
      <c r="K290" s="11">
        <v>2.0097284279600399E-4</v>
      </c>
    </row>
    <row r="291" spans="8:11">
      <c r="H291" s="41"/>
      <c r="I291" s="16">
        <v>44679</v>
      </c>
      <c r="J291" s="15">
        <v>0.83920211326573813</v>
      </c>
      <c r="K291" s="11">
        <v>2.0340112903332851E-4</v>
      </c>
    </row>
    <row r="292" spans="8:11">
      <c r="H292" s="41"/>
      <c r="I292" s="16">
        <v>44689</v>
      </c>
      <c r="J292" s="15">
        <v>0.83770863739374579</v>
      </c>
      <c r="K292" s="11">
        <v>2.0583184314228975E-4</v>
      </c>
    </row>
    <row r="293" spans="8:11">
      <c r="H293" s="41"/>
      <c r="I293" s="16">
        <v>44699</v>
      </c>
      <c r="J293" s="15">
        <v>0.83621701557849459</v>
      </c>
      <c r="K293" s="11">
        <v>2.0826330411041749E-4</v>
      </c>
    </row>
    <row r="294" spans="8:11">
      <c r="H294" s="41"/>
      <c r="I294" s="16">
        <v>44709</v>
      </c>
      <c r="J294" s="15">
        <v>0.83472710851930931</v>
      </c>
      <c r="K294" s="11">
        <v>2.1069544986305515E-4</v>
      </c>
    </row>
    <row r="295" spans="8:11">
      <c r="H295" s="41"/>
      <c r="I295" s="16">
        <v>44719</v>
      </c>
      <c r="J295" s="15">
        <v>0.83323879920568023</v>
      </c>
      <c r="K295" s="11">
        <v>2.1312093201519022E-4</v>
      </c>
    </row>
    <row r="296" spans="8:11">
      <c r="H296" s="41"/>
      <c r="I296" s="16">
        <v>44729</v>
      </c>
      <c r="J296" s="15">
        <v>0.83175219796795785</v>
      </c>
      <c r="K296" s="11">
        <v>2.1554195349887426E-4</v>
      </c>
    </row>
    <row r="297" spans="8:11">
      <c r="H297" s="41"/>
      <c r="I297" s="16">
        <v>44739</v>
      </c>
      <c r="J297" s="15">
        <v>0.83026724109735695</v>
      </c>
      <c r="K297" s="11">
        <v>2.1796167446290523E-4</v>
      </c>
    </row>
    <row r="298" spans="8:11">
      <c r="H298" s="41"/>
      <c r="I298" s="16">
        <v>44749</v>
      </c>
      <c r="J298" s="15">
        <v>0.82878420810537878</v>
      </c>
      <c r="K298" s="11">
        <v>2.203759864947547E-4</v>
      </c>
    </row>
    <row r="299" spans="8:11">
      <c r="H299" s="41"/>
      <c r="I299" s="16">
        <v>44759</v>
      </c>
      <c r="J299" s="15">
        <v>0.82730301984061383</v>
      </c>
      <c r="K299" s="11">
        <v>2.2278713104889521E-4</v>
      </c>
    </row>
    <row r="300" spans="8:11">
      <c r="H300" s="41"/>
      <c r="I300" s="16">
        <v>44769</v>
      </c>
      <c r="J300" s="15">
        <v>0.82582299403249582</v>
      </c>
      <c r="K300" s="11">
        <v>2.2519195179351848E-4</v>
      </c>
    </row>
    <row r="301" spans="8:11">
      <c r="H301" s="41"/>
      <c r="I301" s="16">
        <v>44779</v>
      </c>
      <c r="J301" s="15">
        <v>0.82434446085494228</v>
      </c>
      <c r="K301" s="11">
        <v>2.2759356218003343E-4</v>
      </c>
    </row>
    <row r="302" spans="8:11">
      <c r="H302" s="41"/>
      <c r="I302" s="16">
        <v>44789</v>
      </c>
      <c r="J302" s="15">
        <v>0.82286804273329772</v>
      </c>
      <c r="K302" s="11">
        <v>2.299948498639759E-4</v>
      </c>
    </row>
    <row r="303" spans="8:11">
      <c r="H303" s="41"/>
      <c r="I303" s="16">
        <v>44799</v>
      </c>
      <c r="J303" s="15">
        <v>0.82139338020102404</v>
      </c>
      <c r="K303" s="11">
        <v>2.3239671887381055E-4</v>
      </c>
    </row>
    <row r="304" spans="8:11">
      <c r="H304" s="41"/>
      <c r="I304" s="16">
        <v>44809</v>
      </c>
      <c r="J304" s="15">
        <v>0.81992022393889274</v>
      </c>
      <c r="K304" s="11">
        <v>2.3479545001924433E-4</v>
      </c>
    </row>
    <row r="305" spans="8:11">
      <c r="H305" s="41"/>
      <c r="I305" s="16">
        <v>44819</v>
      </c>
      <c r="J305" s="15">
        <v>0.81844874792496358</v>
      </c>
      <c r="K305" s="11">
        <v>2.3719570795761329E-4</v>
      </c>
    </row>
    <row r="306" spans="8:11">
      <c r="H306" s="41"/>
      <c r="I306" s="16">
        <v>44829</v>
      </c>
      <c r="J306" s="15">
        <v>0.81697877057728951</v>
      </c>
      <c r="K306" s="11">
        <v>2.3959513861104701E-4</v>
      </c>
    </row>
    <row r="307" spans="8:11">
      <c r="H307" s="41"/>
      <c r="I307" s="16">
        <v>44839</v>
      </c>
      <c r="J307" s="15">
        <v>0.81551023039364656</v>
      </c>
      <c r="K307" s="11">
        <v>2.4199008704417423E-4</v>
      </c>
    </row>
    <row r="308" spans="8:11">
      <c r="H308" s="41"/>
      <c r="I308" s="16">
        <v>44849</v>
      </c>
      <c r="J308" s="15">
        <v>0.81404299259467028</v>
      </c>
      <c r="K308" s="11">
        <v>2.4438553435649597E-4</v>
      </c>
    </row>
    <row r="309" spans="8:11">
      <c r="H309" s="41"/>
      <c r="I309" s="16">
        <v>44859</v>
      </c>
      <c r="J309" s="15">
        <v>0.81257733613169225</v>
      </c>
      <c r="K309" s="11">
        <v>2.4677718834075933E-4</v>
      </c>
    </row>
    <row r="310" spans="8:11">
      <c r="H310" s="41"/>
      <c r="I310" s="16">
        <v>44869</v>
      </c>
      <c r="J310" s="15">
        <v>0.81111329259729659</v>
      </c>
      <c r="K310" s="11">
        <v>2.4916629094778441E-4</v>
      </c>
    </row>
    <row r="311" spans="8:11">
      <c r="H311" s="41"/>
      <c r="I311" s="16">
        <v>44879</v>
      </c>
      <c r="J311" s="15">
        <v>0.80965121042401211</v>
      </c>
      <c r="K311" s="11">
        <v>2.5154989804103504E-4</v>
      </c>
    </row>
    <row r="312" spans="8:11">
      <c r="H312" s="41"/>
      <c r="I312" s="16">
        <v>44889</v>
      </c>
      <c r="J312" s="15">
        <v>0.80819061623858723</v>
      </c>
      <c r="K312" s="11">
        <v>2.5393143040188795E-4</v>
      </c>
    </row>
    <row r="313" spans="8:11">
      <c r="H313" s="41"/>
      <c r="I313" s="16">
        <v>44899</v>
      </c>
      <c r="J313" s="15">
        <v>0.80673150102821645</v>
      </c>
      <c r="K313" s="11">
        <v>2.563117974097127E-4</v>
      </c>
    </row>
    <row r="314" spans="8:11">
      <c r="H314" s="41"/>
      <c r="I314" s="16">
        <v>44909</v>
      </c>
      <c r="J314" s="15">
        <v>0.80527423966604339</v>
      </c>
      <c r="K314" s="11">
        <v>2.5868915431491923E-4</v>
      </c>
    </row>
    <row r="315" spans="8:11">
      <c r="H315" s="41"/>
      <c r="I315" s="16">
        <v>44919</v>
      </c>
      <c r="J315" s="15">
        <v>0.8038189928018532</v>
      </c>
      <c r="K315" s="11">
        <v>2.610664371236313E-4</v>
      </c>
    </row>
    <row r="316" spans="8:11">
      <c r="H316" s="41"/>
      <c r="I316" s="16">
        <v>44929</v>
      </c>
      <c r="J316" s="15">
        <v>0.80236539360995318</v>
      </c>
      <c r="K316" s="11">
        <v>2.6344087903696592E-4</v>
      </c>
    </row>
    <row r="317" spans="8:11">
      <c r="H317" s="41"/>
      <c r="I317" s="16">
        <v>44939</v>
      </c>
      <c r="J317" s="15">
        <v>0.80091303248998635</v>
      </c>
      <c r="K317" s="11">
        <v>2.6581295935983781E-4</v>
      </c>
    </row>
    <row r="318" spans="8:11">
      <c r="H318" s="41"/>
      <c r="I318" s="16">
        <v>44949</v>
      </c>
      <c r="J318" s="15">
        <v>0.7994628382545107</v>
      </c>
      <c r="K318" s="11">
        <v>2.6818045424218789E-4</v>
      </c>
    </row>
    <row r="319" spans="8:11">
      <c r="H319" s="41"/>
      <c r="I319" s="16">
        <v>44959</v>
      </c>
      <c r="J319" s="15">
        <v>0.79801443968172392</v>
      </c>
      <c r="K319" s="11">
        <v>2.705446593619439E-4</v>
      </c>
    </row>
    <row r="320" spans="8:11">
      <c r="H320" s="41"/>
      <c r="I320" s="16">
        <v>44969</v>
      </c>
      <c r="J320" s="15">
        <v>0.79656784502149336</v>
      </c>
      <c r="K320" s="11">
        <v>2.7290677250433931E-4</v>
      </c>
    </row>
    <row r="321" spans="8:11">
      <c r="H321" s="41"/>
      <c r="I321" s="16">
        <v>44979</v>
      </c>
      <c r="J321" s="15">
        <v>0.79512280858805451</v>
      </c>
      <c r="K321" s="11">
        <v>2.7526447832744308E-4</v>
      </c>
    </row>
    <row r="322" spans="8:11">
      <c r="H322" s="41"/>
      <c r="I322" s="16">
        <v>44989</v>
      </c>
      <c r="J322" s="15">
        <v>0.79367968965277991</v>
      </c>
      <c r="K322" s="11">
        <v>2.776136112155516E-4</v>
      </c>
    </row>
    <row r="323" spans="8:11">
      <c r="H323" s="41"/>
      <c r="I323" s="16">
        <v>44999</v>
      </c>
      <c r="J323" s="15">
        <v>0.79223826074598536</v>
      </c>
      <c r="K323" s="11">
        <v>2.7996337678385215E-4</v>
      </c>
    </row>
    <row r="324" spans="8:11">
      <c r="H324" s="41"/>
      <c r="I324" s="16">
        <v>45009</v>
      </c>
      <c r="J324" s="15">
        <v>0.79079873424763603</v>
      </c>
      <c r="K324" s="11">
        <v>2.8231099077949206E-4</v>
      </c>
    </row>
    <row r="325" spans="8:11">
      <c r="H325" s="41"/>
      <c r="I325" s="16">
        <v>45019</v>
      </c>
      <c r="J325" s="15">
        <v>0.78936144734708102</v>
      </c>
      <c r="K325" s="11">
        <v>2.8465341826188612E-4</v>
      </c>
    </row>
    <row r="326" spans="8:11">
      <c r="H326" s="41"/>
      <c r="I326" s="16">
        <v>45029</v>
      </c>
      <c r="J326" s="15">
        <v>0.78792608707898393</v>
      </c>
      <c r="K326" s="11">
        <v>2.8699698811721059E-4</v>
      </c>
    </row>
    <row r="327" spans="8:11">
      <c r="H327" s="41"/>
      <c r="I327" s="16">
        <v>45039</v>
      </c>
      <c r="J327" s="15">
        <v>0.78649239681682526</v>
      </c>
      <c r="K327" s="11">
        <v>2.8933897590884791E-4</v>
      </c>
    </row>
    <row r="328" spans="8:11">
      <c r="H328" s="41"/>
      <c r="I328" s="16">
        <v>45049</v>
      </c>
      <c r="J328" s="15">
        <v>0.7850601104736078</v>
      </c>
      <c r="K328" s="11">
        <v>2.9167980339618095E-4</v>
      </c>
    </row>
    <row r="329" spans="8:11">
      <c r="H329" s="41"/>
      <c r="I329" s="16">
        <v>45059</v>
      </c>
      <c r="J329" s="15">
        <v>0.78362962051857732</v>
      </c>
      <c r="K329" s="11">
        <v>2.9401713703706338E-4</v>
      </c>
    </row>
    <row r="330" spans="8:11">
      <c r="H330" s="41"/>
      <c r="I330" s="16">
        <v>45069</v>
      </c>
      <c r="J330" s="15">
        <v>0.78220090801687792</v>
      </c>
      <c r="K330" s="11">
        <v>2.963486063107633E-4</v>
      </c>
    </row>
    <row r="331" spans="8:11">
      <c r="H331" s="41"/>
      <c r="I331" s="16">
        <v>45079</v>
      </c>
      <c r="J331" s="15">
        <v>0.78077376503359963</v>
      </c>
      <c r="K331" s="11">
        <v>2.9867688598396322E-4</v>
      </c>
    </row>
    <row r="332" spans="8:11">
      <c r="H332" s="41"/>
      <c r="I332" s="16">
        <v>45089</v>
      </c>
      <c r="J332" s="15">
        <v>0.77934820854095432</v>
      </c>
      <c r="K332" s="11">
        <v>3.0099008556358953E-4</v>
      </c>
    </row>
    <row r="333" spans="8:11">
      <c r="H333" s="41"/>
      <c r="I333" s="16">
        <v>45099</v>
      </c>
      <c r="J333" s="15">
        <v>0.77792434302392621</v>
      </c>
      <c r="K333" s="11">
        <v>3.0329902878463444E-4</v>
      </c>
    </row>
    <row r="334" spans="8:11">
      <c r="H334" s="41"/>
      <c r="I334" s="16">
        <v>45109</v>
      </c>
      <c r="J334" s="15">
        <v>0.77650242408825254</v>
      </c>
      <c r="K334" s="11">
        <v>3.0559717753981868E-4</v>
      </c>
    </row>
    <row r="335" spans="8:11">
      <c r="H335" s="41"/>
      <c r="I335" s="16">
        <v>45119</v>
      </c>
      <c r="J335" s="15">
        <v>0.77508244501813295</v>
      </c>
      <c r="K335" s="11">
        <v>3.0788647240936363E-4</v>
      </c>
    </row>
    <row r="336" spans="8:11">
      <c r="H336" s="41"/>
      <c r="I336" s="16">
        <v>45129</v>
      </c>
      <c r="J336" s="15">
        <v>0.77366460330489173</v>
      </c>
      <c r="K336" s="11">
        <v>3.1016595192256193E-4</v>
      </c>
    </row>
    <row r="337" spans="8:11">
      <c r="H337" s="41"/>
      <c r="I337" s="16">
        <v>45139</v>
      </c>
      <c r="J337" s="15">
        <v>0.77224819455264837</v>
      </c>
      <c r="K337" s="11">
        <v>3.1243864895068513E-4</v>
      </c>
    </row>
    <row r="338" spans="8:11">
      <c r="H338" s="41"/>
      <c r="I338" s="16">
        <v>45149</v>
      </c>
      <c r="J338" s="15">
        <v>0.77083352888364987</v>
      </c>
      <c r="K338" s="11">
        <v>3.1470942865732289E-4</v>
      </c>
    </row>
    <row r="339" spans="8:11">
      <c r="H339" s="41"/>
      <c r="I339" s="16">
        <v>45159</v>
      </c>
      <c r="J339" s="15">
        <v>0.76942068575455802</v>
      </c>
      <c r="K339" s="11">
        <v>3.1697054893425766E-4</v>
      </c>
    </row>
    <row r="340" spans="8:11">
      <c r="H340" s="41"/>
      <c r="I340" s="16">
        <v>45169</v>
      </c>
      <c r="J340" s="15">
        <v>0.76801004315473742</v>
      </c>
      <c r="K340" s="11">
        <v>3.1922859925884856E-4</v>
      </c>
    </row>
    <row r="341" spans="8:11">
      <c r="H341" s="41"/>
      <c r="I341" s="16">
        <v>45179</v>
      </c>
      <c r="J341" s="15">
        <v>0.766600997103834</v>
      </c>
      <c r="K341" s="11">
        <v>3.21491061889496E-4</v>
      </c>
    </row>
    <row r="342" spans="8:11">
      <c r="H342" s="41"/>
      <c r="I342" s="16">
        <v>45189</v>
      </c>
      <c r="J342" s="15">
        <v>0.76519379771666041</v>
      </c>
      <c r="K342" s="11">
        <v>3.2374873414438082E-4</v>
      </c>
    </row>
    <row r="343" spans="8:11">
      <c r="H343" s="41"/>
      <c r="I343" s="16">
        <v>45199</v>
      </c>
      <c r="J343" s="15">
        <v>0.763788723867869</v>
      </c>
      <c r="K343" s="11">
        <v>3.2600284130231269E-4</v>
      </c>
    </row>
    <row r="344" spans="8:11">
      <c r="H344" s="41"/>
      <c r="I344" s="16">
        <v>45209</v>
      </c>
      <c r="J344" s="15">
        <v>0.76238551316436454</v>
      </c>
      <c r="K344" s="11">
        <v>3.2825135366031425E-4</v>
      </c>
    </row>
    <row r="345" spans="8:11">
      <c r="H345" s="41"/>
      <c r="I345" s="16">
        <v>45219</v>
      </c>
      <c r="J345" s="15">
        <v>0.76098396913457311</v>
      </c>
      <c r="K345" s="11">
        <v>3.3049393309992893E-4</v>
      </c>
    </row>
    <row r="346" spans="8:11">
      <c r="H346" s="41"/>
      <c r="I346" s="16">
        <v>45229</v>
      </c>
      <c r="J346" s="15">
        <v>0.75958400690313743</v>
      </c>
      <c r="K346" s="11">
        <v>3.3273097174563952E-4</v>
      </c>
    </row>
    <row r="347" spans="8:11">
      <c r="H347" s="41"/>
      <c r="I347" s="16">
        <v>45239</v>
      </c>
      <c r="J347" s="15">
        <v>0.75818599391462571</v>
      </c>
      <c r="K347" s="11">
        <v>3.3496163928805071E-4</v>
      </c>
    </row>
    <row r="348" spans="8:11">
      <c r="H348" s="41"/>
      <c r="I348" s="16">
        <v>45249</v>
      </c>
      <c r="J348" s="15">
        <v>0.75678980831131548</v>
      </c>
      <c r="K348" s="11">
        <v>3.3719222916619892E-4</v>
      </c>
    </row>
    <row r="349" spans="8:11">
      <c r="H349" s="41"/>
      <c r="I349" s="16">
        <v>45259</v>
      </c>
      <c r="J349" s="15">
        <v>0.75539522944599635</v>
      </c>
      <c r="K349" s="11">
        <v>3.394119796607719E-4</v>
      </c>
    </row>
    <row r="350" spans="8:11">
      <c r="H350" s="41"/>
      <c r="I350" s="16">
        <v>45269</v>
      </c>
      <c r="J350" s="15">
        <v>0.75400261570052651</v>
      </c>
      <c r="K350" s="11">
        <v>3.416264870881794E-4</v>
      </c>
    </row>
    <row r="351" spans="8:11">
      <c r="H351" s="41"/>
      <c r="I351" s="16">
        <v>45279</v>
      </c>
      <c r="J351" s="15">
        <v>0.75261139497065843</v>
      </c>
      <c r="K351" s="11">
        <v>3.4382977905048285E-4</v>
      </c>
    </row>
    <row r="352" spans="8:11">
      <c r="H352" s="41"/>
      <c r="I352" s="16">
        <v>45289</v>
      </c>
      <c r="J352" s="15">
        <v>0.75122190863494287</v>
      </c>
      <c r="K352" s="11">
        <v>3.4602282081065314E-4</v>
      </c>
    </row>
    <row r="353" spans="8:11">
      <c r="H353" s="41"/>
      <c r="I353" s="16">
        <v>45299</v>
      </c>
      <c r="J353" s="15">
        <v>0.74983409898202968</v>
      </c>
      <c r="K353" s="11">
        <v>3.4821530170438172E-4</v>
      </c>
    </row>
    <row r="354" spans="8:11">
      <c r="H354" s="41"/>
      <c r="I354" s="16">
        <v>45309</v>
      </c>
      <c r="J354" s="15">
        <v>0.748447979491768</v>
      </c>
      <c r="K354" s="11">
        <v>3.5039828277624814E-4</v>
      </c>
    </row>
    <row r="355" spans="8:11">
      <c r="H355" s="41"/>
      <c r="I355" s="16">
        <v>45319</v>
      </c>
      <c r="J355" s="15">
        <v>0.74706378654833117</v>
      </c>
      <c r="K355" s="11">
        <v>3.5258126523744478E-4</v>
      </c>
    </row>
    <row r="356" spans="8:11">
      <c r="H356" s="41"/>
      <c r="I356" s="16">
        <v>45329</v>
      </c>
      <c r="J356" s="15">
        <v>0.7456814652149667</v>
      </c>
      <c r="K356" s="11">
        <v>3.5476285723936939E-4</v>
      </c>
    </row>
    <row r="357" spans="8:11">
      <c r="H357" s="41"/>
      <c r="I357" s="16">
        <v>45339</v>
      </c>
      <c r="J357" s="15">
        <v>0.74430099471610911</v>
      </c>
      <c r="K357" s="11">
        <v>3.569388741848127E-4</v>
      </c>
    </row>
    <row r="358" spans="8:11">
      <c r="H358" s="41"/>
      <c r="I358" s="16">
        <v>45349</v>
      </c>
      <c r="J358" s="15">
        <v>0.74292249884951556</v>
      </c>
      <c r="K358" s="11">
        <v>3.5911523848286461E-4</v>
      </c>
    </row>
    <row r="359" spans="8:11">
      <c r="H359" s="41"/>
      <c r="I359" s="16">
        <v>45359</v>
      </c>
      <c r="J359" s="15">
        <v>0.74154594375909055</v>
      </c>
      <c r="K359" s="11">
        <v>3.6127797515267656E-4</v>
      </c>
    </row>
    <row r="360" spans="8:11">
      <c r="H360" s="41"/>
      <c r="I360" s="16">
        <v>45369</v>
      </c>
      <c r="J360" s="15">
        <v>0.74017152936808972</v>
      </c>
      <c r="K360" s="11">
        <v>3.6343923969390021E-4</v>
      </c>
    </row>
    <row r="361" spans="8:11">
      <c r="H361" s="41"/>
      <c r="I361" s="16">
        <v>45379</v>
      </c>
      <c r="J361" s="15">
        <v>0.73879908483914247</v>
      </c>
      <c r="K361" s="11">
        <v>3.6559041150733147E-4</v>
      </c>
    </row>
    <row r="362" spans="8:11">
      <c r="H362" s="41"/>
      <c r="I362" s="16">
        <v>45389</v>
      </c>
      <c r="J362" s="15">
        <v>0.737428735377466</v>
      </c>
      <c r="K362" s="11">
        <v>3.677390963910623E-4</v>
      </c>
    </row>
    <row r="363" spans="8:11">
      <c r="H363" s="41"/>
      <c r="I363" s="16">
        <v>45399</v>
      </c>
      <c r="J363" s="15">
        <v>0.73606023114363572</v>
      </c>
      <c r="K363" s="11">
        <v>3.698819650227585E-4</v>
      </c>
    </row>
    <row r="364" spans="8:11">
      <c r="H364" s="41"/>
      <c r="I364" s="16">
        <v>45409</v>
      </c>
      <c r="J364" s="15">
        <v>0.73469362243114567</v>
      </c>
      <c r="K364" s="11">
        <v>3.7201528971632418E-4</v>
      </c>
    </row>
    <row r="365" spans="8:11">
      <c r="H365" s="41"/>
      <c r="I365" s="16">
        <v>45419</v>
      </c>
      <c r="J365" s="15">
        <v>0.7333283616528864</v>
      </c>
      <c r="K365" s="11">
        <v>3.7413573888962889E-4</v>
      </c>
    </row>
    <row r="366" spans="8:11">
      <c r="H366" s="41"/>
      <c r="I366" s="16">
        <v>45429</v>
      </c>
      <c r="J366" s="15">
        <v>0.73196497356649959</v>
      </c>
      <c r="K366" s="11">
        <v>3.7625030945084029E-4</v>
      </c>
    </row>
    <row r="367" spans="8:11">
      <c r="H367" s="41"/>
      <c r="I367" s="16">
        <v>45439</v>
      </c>
      <c r="J367" s="15">
        <v>0.73060350822632336</v>
      </c>
      <c r="K367" s="11">
        <v>3.7835759011757466E-4</v>
      </c>
    </row>
    <row r="368" spans="8:11">
      <c r="H368" s="41"/>
      <c r="I368" s="16">
        <v>45449</v>
      </c>
      <c r="J368" s="15">
        <v>0.72924407164742466</v>
      </c>
      <c r="K368" s="11">
        <v>3.8046670204521074E-4</v>
      </c>
    </row>
    <row r="369" spans="8:11">
      <c r="H369" s="41"/>
      <c r="I369" s="16">
        <v>45459</v>
      </c>
      <c r="J369" s="15">
        <v>0.72788647856376143</v>
      </c>
      <c r="K369" s="11">
        <v>3.8256228378656806E-4</v>
      </c>
    </row>
    <row r="370" spans="8:11">
      <c r="I370" s="16"/>
      <c r="J370" s="15"/>
      <c r="K370" s="11"/>
    </row>
    <row r="371" spans="8:11">
      <c r="I371" s="16"/>
      <c r="J371" s="15"/>
      <c r="K371" s="11"/>
    </row>
    <row r="372" spans="8:11">
      <c r="I372" s="16"/>
      <c r="J372" s="15"/>
      <c r="K372" s="11"/>
    </row>
    <row r="373" spans="8:11">
      <c r="I373" s="16"/>
      <c r="J373" s="15"/>
      <c r="K373" s="11"/>
    </row>
    <row r="374" spans="8:11">
      <c r="I374" s="16"/>
      <c r="J374" s="15"/>
      <c r="K374" s="11"/>
    </row>
    <row r="375" spans="8:11">
      <c r="I375" s="16"/>
      <c r="J375" s="15"/>
      <c r="K375" s="11"/>
    </row>
    <row r="376" spans="8:11">
      <c r="I376" s="16"/>
      <c r="J376" s="15"/>
      <c r="K376" s="11"/>
    </row>
    <row r="377" spans="8:11">
      <c r="I377" s="16"/>
      <c r="J377" s="15"/>
      <c r="K377" s="11"/>
    </row>
    <row r="378" spans="8:11">
      <c r="I378" s="16"/>
      <c r="J378" s="15"/>
      <c r="K378" s="11"/>
    </row>
    <row r="379" spans="8:11">
      <c r="I379" s="16"/>
      <c r="J379" s="15"/>
      <c r="K379" s="11"/>
    </row>
    <row r="380" spans="8:11">
      <c r="I380" s="16"/>
      <c r="J380" s="15"/>
      <c r="K380" s="11"/>
    </row>
    <row r="381" spans="8:11">
      <c r="I381" s="16"/>
      <c r="J381" s="15"/>
      <c r="K381" s="11"/>
    </row>
    <row r="382" spans="8:11">
      <c r="I382" s="16"/>
      <c r="J382" s="15"/>
      <c r="K382" s="11"/>
    </row>
    <row r="383" spans="8:11">
      <c r="I383" s="16"/>
      <c r="J383" s="15"/>
      <c r="K383" s="11"/>
    </row>
    <row r="384" spans="8:11">
      <c r="I384" s="16"/>
      <c r="J384" s="15"/>
      <c r="K384" s="11"/>
    </row>
    <row r="385" spans="9:11">
      <c r="I385" s="16"/>
      <c r="J385" s="15"/>
      <c r="K385" s="11"/>
    </row>
    <row r="386" spans="9:11">
      <c r="I386" s="16"/>
      <c r="J386" s="15"/>
      <c r="K386" s="11"/>
    </row>
    <row r="387" spans="9:11">
      <c r="I387" s="16"/>
      <c r="J387" s="15"/>
      <c r="K387" s="11"/>
    </row>
    <row r="388" spans="9:11">
      <c r="I388" s="16"/>
      <c r="J388" s="15"/>
      <c r="K388" s="11"/>
    </row>
    <row r="389" spans="9:11">
      <c r="I389" s="16"/>
      <c r="J389" s="15"/>
      <c r="K389" s="11"/>
    </row>
    <row r="390" spans="9:11">
      <c r="I390" s="16"/>
      <c r="J390" s="15"/>
      <c r="K390" s="11"/>
    </row>
    <row r="391" spans="9:11">
      <c r="I391" s="16"/>
      <c r="J391" s="15"/>
      <c r="K391" s="11"/>
    </row>
    <row r="392" spans="9:11">
      <c r="I392" s="16"/>
      <c r="J392" s="15"/>
      <c r="K392" s="11"/>
    </row>
    <row r="393" spans="9:11">
      <c r="I393" s="16"/>
      <c r="J393" s="15"/>
      <c r="K393" s="11"/>
    </row>
    <row r="394" spans="9:11">
      <c r="I394" s="16"/>
      <c r="J394" s="15"/>
      <c r="K394" s="11"/>
    </row>
    <row r="395" spans="9:11">
      <c r="I395" s="16"/>
      <c r="J395" s="15"/>
      <c r="K395" s="11"/>
    </row>
    <row r="396" spans="9:11">
      <c r="I396" s="16"/>
      <c r="J396" s="15"/>
      <c r="K396" s="11"/>
    </row>
    <row r="397" spans="9:11">
      <c r="I397" s="16"/>
      <c r="J397" s="15"/>
      <c r="K397" s="11"/>
    </row>
    <row r="398" spans="9:11">
      <c r="I398" s="16"/>
      <c r="J398" s="15"/>
      <c r="K398" s="11"/>
    </row>
    <row r="399" spans="9:11">
      <c r="I399" s="16"/>
      <c r="J399" s="15"/>
      <c r="K399" s="11"/>
    </row>
    <row r="400" spans="9:11">
      <c r="I400" s="16"/>
      <c r="J400" s="15"/>
      <c r="K400" s="11"/>
    </row>
    <row r="401" spans="9:11">
      <c r="I401" s="16"/>
      <c r="J401" s="15"/>
      <c r="K401" s="11"/>
    </row>
    <row r="402" spans="9:11">
      <c r="I402" s="16"/>
      <c r="J402" s="15"/>
      <c r="K402" s="11"/>
    </row>
    <row r="403" spans="9:11">
      <c r="I403" s="16"/>
      <c r="J403" s="15"/>
      <c r="K403" s="11"/>
    </row>
    <row r="404" spans="9:11">
      <c r="I404" s="16"/>
      <c r="J404" s="15"/>
      <c r="K404" s="11"/>
    </row>
    <row r="405" spans="9:11">
      <c r="I405" s="16"/>
      <c r="J405" s="15"/>
      <c r="K405" s="11"/>
    </row>
    <row r="406" spans="9:11">
      <c r="I406" s="16"/>
      <c r="J406" s="15"/>
      <c r="K406" s="11"/>
    </row>
    <row r="407" spans="9:11">
      <c r="I407" s="16"/>
      <c r="J407" s="15"/>
      <c r="K407" s="11"/>
    </row>
    <row r="408" spans="9:11">
      <c r="I408" s="16"/>
      <c r="J408" s="15"/>
      <c r="K408" s="11"/>
    </row>
    <row r="409" spans="9:11">
      <c r="I409" s="16"/>
      <c r="J409" s="15"/>
      <c r="K409" s="11"/>
    </row>
    <row r="410" spans="9:11">
      <c r="I410" s="16"/>
      <c r="J410" s="15"/>
      <c r="K410" s="11"/>
    </row>
    <row r="411" spans="9:11">
      <c r="I411" s="16"/>
      <c r="J411" s="15"/>
      <c r="K411" s="11"/>
    </row>
    <row r="412" spans="9:11">
      <c r="I412" s="16"/>
      <c r="J412" s="15"/>
      <c r="K412" s="11"/>
    </row>
    <row r="413" spans="9:11">
      <c r="I413" s="16"/>
      <c r="J413" s="15"/>
      <c r="K413" s="11"/>
    </row>
    <row r="414" spans="9:11">
      <c r="I414" s="16"/>
      <c r="J414" s="15"/>
      <c r="K414" s="11"/>
    </row>
    <row r="415" spans="9:11">
      <c r="I415" s="16"/>
      <c r="J415" s="15"/>
      <c r="K415" s="11"/>
    </row>
    <row r="416" spans="9:11">
      <c r="I416" s="16"/>
      <c r="J416" s="15"/>
      <c r="K416" s="11"/>
    </row>
    <row r="417" spans="9:11">
      <c r="I417" s="16"/>
      <c r="J417" s="15"/>
      <c r="K417" s="11"/>
    </row>
    <row r="418" spans="9:11">
      <c r="I418" s="16"/>
      <c r="J418" s="15"/>
      <c r="K418" s="11"/>
    </row>
    <row r="419" spans="9:11">
      <c r="I419" s="16"/>
      <c r="J419" s="15"/>
      <c r="K419" s="11"/>
    </row>
    <row r="420" spans="9:11">
      <c r="I420" s="16"/>
      <c r="J420" s="15"/>
      <c r="K420" s="11"/>
    </row>
    <row r="421" spans="9:11">
      <c r="I421" s="16"/>
      <c r="J421" s="15"/>
      <c r="K421" s="11"/>
    </row>
    <row r="422" spans="9:11">
      <c r="I422" s="16"/>
      <c r="J422" s="15"/>
      <c r="K422" s="11"/>
    </row>
    <row r="423" spans="9:11">
      <c r="I423" s="16"/>
      <c r="J423" s="15"/>
      <c r="K423" s="11"/>
    </row>
    <row r="424" spans="9:11">
      <c r="I424" s="16"/>
      <c r="J424" s="15"/>
      <c r="K424" s="11"/>
    </row>
    <row r="425" spans="9:11">
      <c r="I425" s="16"/>
      <c r="J425" s="15"/>
      <c r="K425" s="11"/>
    </row>
    <row r="426" spans="9:11">
      <c r="I426" s="16"/>
      <c r="J426" s="15"/>
      <c r="K426" s="11"/>
    </row>
    <row r="427" spans="9:11">
      <c r="I427" s="16"/>
      <c r="J427" s="15"/>
      <c r="K427" s="11"/>
    </row>
    <row r="428" spans="9:11">
      <c r="I428" s="16"/>
      <c r="J428" s="15"/>
      <c r="K428" s="11"/>
    </row>
    <row r="429" spans="9:11">
      <c r="I429" s="16"/>
      <c r="J429" s="15"/>
      <c r="K429" s="11"/>
    </row>
    <row r="430" spans="9:11">
      <c r="I430" s="16"/>
      <c r="J430" s="15"/>
      <c r="K430" s="11"/>
    </row>
    <row r="431" spans="9:11">
      <c r="I431" s="16"/>
      <c r="J431" s="15"/>
      <c r="K431" s="11"/>
    </row>
    <row r="432" spans="9:11">
      <c r="I432" s="16"/>
      <c r="J432" s="15"/>
      <c r="K432" s="11"/>
    </row>
    <row r="433" spans="9:11">
      <c r="I433" s="16"/>
      <c r="J433" s="15"/>
      <c r="K433" s="11"/>
    </row>
    <row r="434" spans="9:11">
      <c r="I434" s="16"/>
      <c r="J434" s="15"/>
      <c r="K434" s="11"/>
    </row>
    <row r="435" spans="9:11">
      <c r="I435" s="16"/>
      <c r="J435" s="15"/>
      <c r="K435" s="11"/>
    </row>
    <row r="436" spans="9:11">
      <c r="I436" s="16"/>
      <c r="J436" s="15"/>
      <c r="K436" s="11"/>
    </row>
    <row r="437" spans="9:11">
      <c r="I437" s="16"/>
      <c r="J437" s="15"/>
      <c r="K437" s="11"/>
    </row>
    <row r="438" spans="9:11">
      <c r="I438" s="16"/>
      <c r="J438" s="15"/>
      <c r="K438" s="11"/>
    </row>
    <row r="439" spans="9:11">
      <c r="I439" s="16"/>
      <c r="J439" s="15"/>
      <c r="K439" s="11"/>
    </row>
    <row r="440" spans="9:11">
      <c r="I440" s="16"/>
      <c r="J440" s="15"/>
      <c r="K440" s="11"/>
    </row>
    <row r="441" spans="9:11">
      <c r="I441" s="16"/>
      <c r="J441" s="15"/>
      <c r="K441" s="11"/>
    </row>
    <row r="442" spans="9:11">
      <c r="I442" s="16"/>
      <c r="J442" s="15"/>
      <c r="K442" s="11"/>
    </row>
    <row r="443" spans="9:11">
      <c r="I443" s="16"/>
      <c r="J443" s="15"/>
      <c r="K443" s="11"/>
    </row>
    <row r="444" spans="9:11">
      <c r="I444" s="16"/>
      <c r="J444" s="15"/>
      <c r="K444" s="11"/>
    </row>
    <row r="445" spans="9:11">
      <c r="I445" s="16"/>
      <c r="J445" s="15"/>
      <c r="K445" s="11"/>
    </row>
    <row r="446" spans="9:11">
      <c r="I446" s="16"/>
      <c r="J446" s="15"/>
      <c r="K446" s="11"/>
    </row>
    <row r="447" spans="9:11">
      <c r="I447" s="16"/>
      <c r="J447" s="15"/>
      <c r="K447" s="11"/>
    </row>
    <row r="448" spans="9:11">
      <c r="I448" s="16"/>
      <c r="J448" s="15"/>
      <c r="K448" s="11"/>
    </row>
    <row r="449" spans="9:11">
      <c r="I449" s="16"/>
      <c r="J449" s="15"/>
      <c r="K449" s="11"/>
    </row>
    <row r="450" spans="9:11">
      <c r="I450" s="16"/>
      <c r="J450" s="15"/>
      <c r="K450" s="11"/>
    </row>
    <row r="451" spans="9:11">
      <c r="I451" s="16"/>
      <c r="J451" s="15"/>
      <c r="K451" s="11"/>
    </row>
    <row r="452" spans="9:11">
      <c r="I452" s="16"/>
      <c r="J452" s="15"/>
      <c r="K452" s="11"/>
    </row>
    <row r="453" spans="9:11">
      <c r="I453" s="16"/>
      <c r="J453" s="15"/>
      <c r="K453" s="11"/>
    </row>
    <row r="454" spans="9:11">
      <c r="I454" s="16"/>
      <c r="J454" s="15"/>
      <c r="K454" s="11"/>
    </row>
    <row r="455" spans="9:11">
      <c r="I455" s="16"/>
      <c r="J455" s="15"/>
      <c r="K455" s="11"/>
    </row>
    <row r="456" spans="9:11">
      <c r="I456" s="16"/>
      <c r="J456" s="15"/>
      <c r="K456" s="11"/>
    </row>
    <row r="457" spans="9:11">
      <c r="I457" s="16"/>
      <c r="J457" s="15"/>
      <c r="K457" s="11"/>
    </row>
    <row r="458" spans="9:11">
      <c r="I458" s="16"/>
      <c r="J458" s="15"/>
      <c r="K458" s="11"/>
    </row>
    <row r="459" spans="9:11">
      <c r="I459" s="16"/>
      <c r="J459" s="15"/>
      <c r="K459" s="11"/>
    </row>
    <row r="460" spans="9:11">
      <c r="I460" s="16"/>
      <c r="J460" s="15"/>
      <c r="K460" s="11"/>
    </row>
    <row r="461" spans="9:11">
      <c r="I461" s="16"/>
      <c r="J461" s="15"/>
      <c r="K461" s="11"/>
    </row>
    <row r="462" spans="9:11">
      <c r="I462" s="16"/>
      <c r="J462" s="15"/>
      <c r="K462" s="11"/>
    </row>
    <row r="463" spans="9:11">
      <c r="I463" s="16"/>
      <c r="J463" s="15"/>
      <c r="K463" s="11"/>
    </row>
    <row r="464" spans="9:11">
      <c r="I464" s="16"/>
      <c r="J464" s="15"/>
      <c r="K464" s="11"/>
    </row>
    <row r="465" spans="9:11">
      <c r="I465" s="16"/>
      <c r="J465" s="15"/>
      <c r="K465" s="11"/>
    </row>
    <row r="466" spans="9:11">
      <c r="I466" s="16"/>
      <c r="J466" s="15"/>
      <c r="K466" s="11"/>
    </row>
    <row r="467" spans="9:11">
      <c r="I467" s="16"/>
      <c r="J467" s="15"/>
      <c r="K467" s="11"/>
    </row>
    <row r="468" spans="9:11">
      <c r="I468" s="16"/>
      <c r="J468" s="15"/>
      <c r="K468" s="11"/>
    </row>
    <row r="469" spans="9:11">
      <c r="I469" s="16"/>
      <c r="J469" s="15"/>
      <c r="K469" s="11"/>
    </row>
    <row r="470" spans="9:11">
      <c r="I470" s="16"/>
      <c r="J470" s="15"/>
      <c r="K470" s="11"/>
    </row>
    <row r="471" spans="9:11">
      <c r="I471" s="16"/>
      <c r="J471" s="15"/>
      <c r="K471" s="11"/>
    </row>
    <row r="472" spans="9:11">
      <c r="I472" s="16"/>
      <c r="J472" s="15"/>
      <c r="K472" s="11"/>
    </row>
    <row r="473" spans="9:11">
      <c r="I473" s="16"/>
      <c r="J473" s="15"/>
      <c r="K473" s="11"/>
    </row>
    <row r="474" spans="9:11">
      <c r="I474" s="16"/>
      <c r="J474" s="15"/>
      <c r="K474" s="11"/>
    </row>
    <row r="475" spans="9:11">
      <c r="I475" s="16"/>
      <c r="J475" s="15"/>
      <c r="K475" s="11"/>
    </row>
    <row r="476" spans="9:11">
      <c r="I476" s="16"/>
      <c r="J476" s="15"/>
      <c r="K476" s="11"/>
    </row>
    <row r="477" spans="9:11">
      <c r="I477" s="16"/>
      <c r="J477" s="15"/>
      <c r="K477" s="11"/>
    </row>
    <row r="478" spans="9:11">
      <c r="I478" s="16"/>
      <c r="J478" s="15"/>
      <c r="K478" s="11"/>
    </row>
    <row r="479" spans="9:11">
      <c r="I479" s="16"/>
      <c r="J479" s="15"/>
      <c r="K479" s="11"/>
    </row>
    <row r="480" spans="9:11">
      <c r="I480" s="16"/>
      <c r="J480" s="15"/>
      <c r="K480" s="11"/>
    </row>
    <row r="481" spans="9:11">
      <c r="I481" s="16"/>
      <c r="J481" s="15"/>
      <c r="K481" s="11"/>
    </row>
    <row r="482" spans="9:11">
      <c r="I482" s="16"/>
      <c r="J482" s="15"/>
      <c r="K482" s="11"/>
    </row>
    <row r="483" spans="9:11">
      <c r="I483" s="16"/>
      <c r="J483" s="15"/>
      <c r="K483" s="11"/>
    </row>
    <row r="484" spans="9:11">
      <c r="I484" s="16"/>
      <c r="J484" s="15"/>
      <c r="K484" s="11"/>
    </row>
    <row r="485" spans="9:11">
      <c r="I485" s="16"/>
      <c r="J485" s="15"/>
      <c r="K485" s="11"/>
    </row>
    <row r="486" spans="9:11">
      <c r="I486" s="16"/>
      <c r="J486" s="15"/>
      <c r="K486" s="11"/>
    </row>
    <row r="487" spans="9:11">
      <c r="I487" s="16"/>
      <c r="J487" s="15"/>
      <c r="K487" s="11"/>
    </row>
    <row r="488" spans="9:11">
      <c r="I488" s="16"/>
      <c r="J488" s="15"/>
      <c r="K488" s="11"/>
    </row>
    <row r="489" spans="9:11">
      <c r="I489" s="16"/>
      <c r="J489" s="15"/>
      <c r="K489" s="11"/>
    </row>
    <row r="490" spans="9:11">
      <c r="I490" s="16"/>
      <c r="J490" s="15"/>
      <c r="K490" s="11"/>
    </row>
    <row r="491" spans="9:11">
      <c r="I491" s="16"/>
      <c r="J491" s="15"/>
      <c r="K491" s="11"/>
    </row>
    <row r="492" spans="9:11">
      <c r="I492" s="16"/>
      <c r="J492" s="15"/>
      <c r="K492" s="11"/>
    </row>
    <row r="493" spans="9:11">
      <c r="I493" s="16"/>
      <c r="J493" s="15"/>
      <c r="K493" s="11"/>
    </row>
    <row r="494" spans="9:11">
      <c r="I494" s="16"/>
      <c r="J494" s="15"/>
      <c r="K494" s="11"/>
    </row>
    <row r="495" spans="9:11">
      <c r="I495" s="16"/>
      <c r="J495" s="15"/>
      <c r="K495" s="11"/>
    </row>
    <row r="496" spans="9:11">
      <c r="I496" s="16"/>
      <c r="J496" s="15"/>
      <c r="K496" s="11"/>
    </row>
    <row r="497" spans="9:11">
      <c r="I497" s="16"/>
      <c r="J497" s="15"/>
      <c r="K497" s="11"/>
    </row>
    <row r="498" spans="9:11">
      <c r="I498" s="16"/>
      <c r="J498" s="15"/>
      <c r="K498" s="11"/>
    </row>
    <row r="499" spans="9:11">
      <c r="I499" s="16"/>
      <c r="J499" s="15"/>
      <c r="K499" s="11"/>
    </row>
    <row r="500" spans="9:11">
      <c r="I500" s="16"/>
      <c r="J500" s="15"/>
      <c r="K500" s="11"/>
    </row>
    <row r="501" spans="9:11">
      <c r="I501" s="16"/>
      <c r="J501" s="15"/>
      <c r="K501" s="11"/>
    </row>
    <row r="502" spans="9:11">
      <c r="I502" s="16"/>
      <c r="J502" s="15"/>
      <c r="K502" s="11"/>
    </row>
    <row r="503" spans="9:11">
      <c r="I503" s="16"/>
      <c r="J503" s="15"/>
      <c r="K503" s="11"/>
    </row>
    <row r="504" spans="9:11">
      <c r="I504" s="16"/>
      <c r="J504" s="15"/>
      <c r="K504" s="11"/>
    </row>
    <row r="505" spans="9:11">
      <c r="I505" s="16"/>
      <c r="J505" s="15"/>
      <c r="K505" s="11"/>
    </row>
    <row r="506" spans="9:11">
      <c r="I506" s="16"/>
      <c r="J506" s="15"/>
      <c r="K506" s="11"/>
    </row>
    <row r="507" spans="9:11">
      <c r="I507" s="16"/>
      <c r="J507" s="15"/>
      <c r="K507" s="11"/>
    </row>
    <row r="508" spans="9:11">
      <c r="I508" s="16"/>
      <c r="J508" s="15"/>
      <c r="K508" s="11"/>
    </row>
    <row r="509" spans="9:11">
      <c r="I509" s="16"/>
      <c r="J509" s="15"/>
      <c r="K509" s="11"/>
    </row>
    <row r="510" spans="9:11">
      <c r="I510" s="16"/>
      <c r="J510" s="15"/>
      <c r="K510" s="11"/>
    </row>
    <row r="511" spans="9:11">
      <c r="I511" s="16"/>
      <c r="J511" s="15"/>
      <c r="K511" s="11"/>
    </row>
    <row r="512" spans="9:11">
      <c r="I512" s="16"/>
      <c r="J512" s="15"/>
      <c r="K512" s="11"/>
    </row>
    <row r="513" spans="9:11">
      <c r="I513" s="16"/>
      <c r="J513" s="15"/>
      <c r="K513" s="11"/>
    </row>
    <row r="514" spans="9:11">
      <c r="I514" s="16"/>
      <c r="J514" s="15"/>
      <c r="K514" s="11"/>
    </row>
    <row r="515" spans="9:11">
      <c r="I515" s="16"/>
      <c r="J515" s="15"/>
      <c r="K515" s="11"/>
    </row>
    <row r="516" spans="9:11">
      <c r="I516" s="16"/>
      <c r="J516" s="15"/>
      <c r="K516" s="11"/>
    </row>
    <row r="517" spans="9:11">
      <c r="I517" s="16"/>
      <c r="J517" s="15"/>
      <c r="K517" s="11"/>
    </row>
    <row r="518" spans="9:11">
      <c r="I518" s="16"/>
      <c r="J518" s="15"/>
      <c r="K518" s="11"/>
    </row>
    <row r="519" spans="9:11">
      <c r="I519" s="16"/>
      <c r="J519" s="15"/>
      <c r="K519" s="11"/>
    </row>
    <row r="520" spans="9:11">
      <c r="I520" s="16"/>
      <c r="J520" s="15"/>
      <c r="K520" s="11"/>
    </row>
    <row r="521" spans="9:11">
      <c r="I521" s="16"/>
      <c r="J521" s="15"/>
      <c r="K521" s="11"/>
    </row>
    <row r="522" spans="9:11">
      <c r="I522" s="16"/>
      <c r="J522" s="15"/>
      <c r="K522" s="11"/>
    </row>
    <row r="523" spans="9:11">
      <c r="I523" s="16"/>
      <c r="J523" s="15"/>
      <c r="K523" s="11"/>
    </row>
    <row r="524" spans="9:11">
      <c r="I524" s="16"/>
      <c r="J524" s="15"/>
      <c r="K524" s="11"/>
    </row>
    <row r="525" spans="9:11">
      <c r="I525" s="16"/>
      <c r="J525" s="15"/>
      <c r="K525" s="11"/>
    </row>
    <row r="526" spans="9:11">
      <c r="I526" s="16"/>
      <c r="J526" s="15"/>
      <c r="K526" s="11"/>
    </row>
    <row r="527" spans="9:11">
      <c r="I527" s="16"/>
      <c r="J527" s="15"/>
      <c r="K527" s="11"/>
    </row>
    <row r="528" spans="9:11">
      <c r="I528" s="16"/>
      <c r="J528" s="15"/>
      <c r="K528" s="11"/>
    </row>
    <row r="529" spans="9:11">
      <c r="I529" s="16"/>
      <c r="J529" s="15"/>
      <c r="K529" s="11"/>
    </row>
    <row r="530" spans="9:11">
      <c r="I530" s="16"/>
      <c r="J530" s="15"/>
      <c r="K530" s="11"/>
    </row>
    <row r="531" spans="9:11">
      <c r="I531" s="16"/>
      <c r="J531" s="15"/>
      <c r="K531" s="11"/>
    </row>
    <row r="532" spans="9:11">
      <c r="I532" s="16"/>
      <c r="J532" s="15"/>
      <c r="K532" s="11"/>
    </row>
    <row r="533" spans="9:11">
      <c r="I533" s="16"/>
      <c r="J533" s="15"/>
      <c r="K533" s="11"/>
    </row>
    <row r="534" spans="9:11">
      <c r="I534" s="16"/>
      <c r="J534" s="15"/>
      <c r="K534" s="11"/>
    </row>
    <row r="535" spans="9:11">
      <c r="I535" s="16"/>
      <c r="J535" s="15"/>
      <c r="K535" s="11"/>
    </row>
    <row r="536" spans="9:11">
      <c r="I536" s="16"/>
      <c r="J536" s="15"/>
      <c r="K536" s="11"/>
    </row>
    <row r="537" spans="9:11">
      <c r="I537" s="16"/>
      <c r="J537" s="15"/>
      <c r="K537" s="11"/>
    </row>
    <row r="538" spans="9:11">
      <c r="I538" s="16"/>
      <c r="J538" s="15"/>
      <c r="K538" s="11"/>
    </row>
    <row r="539" spans="9:11">
      <c r="I539" s="16"/>
      <c r="J539" s="15"/>
      <c r="K539" s="11"/>
    </row>
    <row r="540" spans="9:11">
      <c r="I540" s="16"/>
      <c r="J540" s="15"/>
      <c r="K540" s="11"/>
    </row>
    <row r="541" spans="9:11">
      <c r="I541" s="16"/>
      <c r="J541" s="15"/>
      <c r="K541" s="11"/>
    </row>
    <row r="542" spans="9:11">
      <c r="I542" s="16"/>
      <c r="J542" s="15"/>
      <c r="K542" s="11"/>
    </row>
    <row r="543" spans="9:11">
      <c r="I543" s="16"/>
      <c r="J543" s="15"/>
      <c r="K543" s="11"/>
    </row>
    <row r="544" spans="9:11">
      <c r="I544" s="16"/>
      <c r="J544" s="15"/>
      <c r="K544" s="11"/>
    </row>
    <row r="545" spans="9:11">
      <c r="I545" s="16"/>
      <c r="J545" s="15"/>
      <c r="K545" s="11"/>
    </row>
    <row r="546" spans="9:11">
      <c r="I546" s="16"/>
      <c r="J546" s="15"/>
      <c r="K546" s="11"/>
    </row>
    <row r="547" spans="9:11">
      <c r="I547" s="16"/>
      <c r="J547" s="15"/>
      <c r="K547" s="11"/>
    </row>
    <row r="548" spans="9:11">
      <c r="I548" s="16"/>
      <c r="J548" s="15"/>
      <c r="K548" s="11"/>
    </row>
    <row r="549" spans="9:11">
      <c r="I549" s="16"/>
      <c r="J549" s="15"/>
      <c r="K549" s="11"/>
    </row>
    <row r="550" spans="9:11">
      <c r="I550" s="16"/>
      <c r="J550" s="15"/>
      <c r="K550" s="11"/>
    </row>
    <row r="551" spans="9:11">
      <c r="I551" s="16"/>
      <c r="J551" s="15"/>
      <c r="K551" s="11"/>
    </row>
    <row r="552" spans="9:11">
      <c r="I552" s="16"/>
      <c r="J552" s="15"/>
      <c r="K552" s="11"/>
    </row>
    <row r="553" spans="9:11">
      <c r="I553" s="16"/>
      <c r="J553" s="15"/>
      <c r="K553" s="11"/>
    </row>
    <row r="554" spans="9:11">
      <c r="I554" s="16"/>
      <c r="J554" s="15"/>
      <c r="K554" s="11"/>
    </row>
    <row r="555" spans="9:11">
      <c r="I555" s="16"/>
      <c r="J555" s="15"/>
      <c r="K555" s="11"/>
    </row>
    <row r="556" spans="9:11">
      <c r="I556" s="16"/>
      <c r="J556" s="15"/>
      <c r="K556" s="11"/>
    </row>
    <row r="557" spans="9:11">
      <c r="I557" s="16"/>
      <c r="J557" s="15"/>
      <c r="K557" s="11"/>
    </row>
    <row r="558" spans="9:11">
      <c r="I558" s="16"/>
      <c r="J558" s="15"/>
      <c r="K558" s="11"/>
    </row>
    <row r="559" spans="9:11">
      <c r="I559" s="16"/>
      <c r="J559" s="15"/>
      <c r="K559" s="11"/>
    </row>
    <row r="560" spans="9:11">
      <c r="I560" s="16"/>
      <c r="J560" s="15"/>
      <c r="K560" s="11"/>
    </row>
    <row r="561" spans="9:11">
      <c r="I561" s="16"/>
      <c r="J561" s="15"/>
      <c r="K561" s="11"/>
    </row>
    <row r="562" spans="9:11">
      <c r="I562" s="16"/>
      <c r="J562" s="15"/>
      <c r="K562" s="11"/>
    </row>
    <row r="563" spans="9:11">
      <c r="I563" s="16"/>
      <c r="J563" s="15"/>
      <c r="K563" s="11"/>
    </row>
    <row r="564" spans="9:11">
      <c r="I564" s="16"/>
      <c r="J564" s="15"/>
      <c r="K564" s="11"/>
    </row>
    <row r="565" spans="9:11">
      <c r="I565" s="16"/>
      <c r="J565" s="15"/>
      <c r="K565" s="11"/>
    </row>
    <row r="566" spans="9:11">
      <c r="I566" s="16"/>
      <c r="J566" s="15"/>
      <c r="K566" s="11"/>
    </row>
    <row r="567" spans="9:11">
      <c r="I567" s="16"/>
      <c r="J567" s="15"/>
      <c r="K567" s="11"/>
    </row>
    <row r="568" spans="9:11">
      <c r="I568" s="16"/>
      <c r="J568" s="15"/>
      <c r="K568" s="11"/>
    </row>
    <row r="569" spans="9:11">
      <c r="I569" s="16"/>
      <c r="J569" s="15"/>
      <c r="K569" s="11"/>
    </row>
    <row r="570" spans="9:11">
      <c r="I570" s="16"/>
      <c r="J570" s="15"/>
      <c r="K570" s="11"/>
    </row>
    <row r="571" spans="9:11">
      <c r="I571" s="16"/>
      <c r="J571" s="15"/>
      <c r="K571" s="11"/>
    </row>
    <row r="572" spans="9:11">
      <c r="I572" s="16"/>
      <c r="J572" s="15"/>
      <c r="K572" s="11"/>
    </row>
    <row r="573" spans="9:11">
      <c r="I573" s="16"/>
      <c r="J573" s="15"/>
      <c r="K573" s="11"/>
    </row>
    <row r="574" spans="9:11">
      <c r="I574" s="16"/>
      <c r="J574" s="15"/>
      <c r="K574" s="11"/>
    </row>
    <row r="575" spans="9:11">
      <c r="I575" s="16"/>
      <c r="J575" s="15"/>
      <c r="K575" s="11"/>
    </row>
    <row r="576" spans="9:11">
      <c r="I576" s="16"/>
      <c r="J576" s="15"/>
      <c r="K576" s="11"/>
    </row>
    <row r="577" spans="9:11">
      <c r="I577" s="16"/>
      <c r="J577" s="15"/>
      <c r="K577" s="11"/>
    </row>
    <row r="578" spans="9:11">
      <c r="I578" s="16"/>
      <c r="J578" s="15"/>
      <c r="K578" s="11"/>
    </row>
    <row r="579" spans="9:11">
      <c r="I579" s="16"/>
      <c r="J579" s="15"/>
      <c r="K579" s="11"/>
    </row>
    <row r="580" spans="9:11">
      <c r="I580" s="16"/>
      <c r="J580" s="15"/>
      <c r="K580" s="11"/>
    </row>
    <row r="581" spans="9:11">
      <c r="I581" s="16"/>
      <c r="J581" s="15"/>
      <c r="K581" s="11"/>
    </row>
    <row r="582" spans="9:11">
      <c r="I582" s="16"/>
      <c r="J582" s="15"/>
      <c r="K582" s="11"/>
    </row>
    <row r="583" spans="9:11">
      <c r="I583" s="16"/>
      <c r="J583" s="15"/>
      <c r="K583" s="11"/>
    </row>
    <row r="584" spans="9:11">
      <c r="I584" s="16"/>
      <c r="J584" s="15"/>
      <c r="K584" s="11"/>
    </row>
    <row r="585" spans="9:11">
      <c r="I585" s="16"/>
      <c r="J585" s="15"/>
      <c r="K585" s="11"/>
    </row>
    <row r="586" spans="9:11">
      <c r="I586" s="16"/>
      <c r="J586" s="15"/>
      <c r="K586" s="11"/>
    </row>
    <row r="587" spans="9:11">
      <c r="I587" s="16"/>
      <c r="J587" s="15"/>
      <c r="K587" s="11"/>
    </row>
    <row r="588" spans="9:11">
      <c r="I588" s="16"/>
      <c r="J588" s="15"/>
      <c r="K588" s="11"/>
    </row>
    <row r="589" spans="9:11">
      <c r="I589" s="16"/>
      <c r="J589" s="15"/>
      <c r="K589" s="11"/>
    </row>
    <row r="590" spans="9:11">
      <c r="I590" s="16"/>
      <c r="J590" s="15"/>
      <c r="K590" s="11"/>
    </row>
    <row r="591" spans="9:11">
      <c r="I591" s="16"/>
      <c r="J591" s="15"/>
      <c r="K591" s="11"/>
    </row>
    <row r="592" spans="9:11">
      <c r="I592" s="16"/>
      <c r="J592" s="15"/>
      <c r="K592" s="11"/>
    </row>
    <row r="593" spans="9:11">
      <c r="I593" s="16"/>
      <c r="J593" s="15"/>
      <c r="K593" s="11"/>
    </row>
    <row r="594" spans="9:11">
      <c r="I594" s="16"/>
      <c r="J594" s="15"/>
      <c r="K594" s="11"/>
    </row>
    <row r="595" spans="9:11">
      <c r="I595" s="16"/>
      <c r="J595" s="15"/>
      <c r="K595" s="11"/>
    </row>
    <row r="596" spans="9:11">
      <c r="I596" s="16"/>
      <c r="J596" s="15"/>
      <c r="K596" s="11"/>
    </row>
    <row r="597" spans="9:11">
      <c r="I597" s="16"/>
      <c r="J597" s="15"/>
      <c r="K597" s="11"/>
    </row>
    <row r="598" spans="9:11">
      <c r="I598" s="16"/>
      <c r="J598" s="15"/>
      <c r="K598" s="11"/>
    </row>
    <row r="599" spans="9:11">
      <c r="I599" s="16"/>
      <c r="J599" s="15"/>
      <c r="K599" s="11"/>
    </row>
    <row r="600" spans="9:11">
      <c r="I600" s="16"/>
      <c r="J600" s="15"/>
      <c r="K600" s="11"/>
    </row>
    <row r="601" spans="9:11">
      <c r="I601" s="16"/>
      <c r="J601" s="15"/>
      <c r="K601" s="11"/>
    </row>
    <row r="602" spans="9:11">
      <c r="I602" s="16"/>
      <c r="J602" s="15"/>
      <c r="K602" s="11"/>
    </row>
    <row r="603" spans="9:11">
      <c r="I603" s="16"/>
      <c r="J603" s="15"/>
      <c r="K603" s="11"/>
    </row>
    <row r="604" spans="9:11">
      <c r="I604" s="16"/>
      <c r="J604" s="15"/>
      <c r="K604" s="11"/>
    </row>
    <row r="605" spans="9:11">
      <c r="I605" s="16"/>
      <c r="J605" s="15"/>
      <c r="K605" s="11"/>
    </row>
    <row r="606" spans="9:11">
      <c r="I606" s="16"/>
      <c r="J606" s="15"/>
      <c r="K606" s="11"/>
    </row>
    <row r="607" spans="9:11">
      <c r="I607" s="16"/>
      <c r="J607" s="15"/>
      <c r="K607" s="11"/>
    </row>
    <row r="608" spans="9:11">
      <c r="I608" s="16"/>
      <c r="J608" s="15"/>
      <c r="K608" s="11"/>
    </row>
    <row r="609" spans="9:11">
      <c r="I609" s="16"/>
      <c r="J609" s="15"/>
      <c r="K609" s="11"/>
    </row>
    <row r="610" spans="9:11">
      <c r="I610" s="16"/>
      <c r="J610" s="15"/>
      <c r="K610" s="11"/>
    </row>
    <row r="611" spans="9:11">
      <c r="I611" s="16"/>
      <c r="J611" s="15"/>
      <c r="K611" s="11"/>
    </row>
    <row r="612" spans="9:11">
      <c r="I612" s="16"/>
      <c r="J612" s="15"/>
      <c r="K612" s="11"/>
    </row>
    <row r="613" spans="9:11">
      <c r="I613" s="16"/>
      <c r="J613" s="15"/>
      <c r="K613" s="11"/>
    </row>
    <row r="614" spans="9:11">
      <c r="I614" s="16"/>
      <c r="J614" s="15"/>
      <c r="K614" s="11"/>
    </row>
    <row r="615" spans="9:11">
      <c r="I615" s="16"/>
      <c r="J615" s="15"/>
      <c r="K615" s="11"/>
    </row>
    <row r="616" spans="9:11">
      <c r="I616" s="16"/>
      <c r="J616" s="15"/>
      <c r="K616" s="11"/>
    </row>
    <row r="617" spans="9:11">
      <c r="I617" s="16"/>
      <c r="J617" s="15"/>
      <c r="K617" s="11"/>
    </row>
    <row r="618" spans="9:11">
      <c r="I618" s="16"/>
      <c r="J618" s="15"/>
      <c r="K618" s="11"/>
    </row>
    <row r="619" spans="9:11">
      <c r="I619" s="16"/>
      <c r="J619" s="15"/>
      <c r="K619" s="11"/>
    </row>
    <row r="620" spans="9:11">
      <c r="I620" s="16"/>
      <c r="J620" s="15"/>
      <c r="K620" s="11"/>
    </row>
    <row r="621" spans="9:11">
      <c r="I621" s="16"/>
      <c r="J621" s="15"/>
      <c r="K621" s="11"/>
    </row>
    <row r="622" spans="9:11">
      <c r="I622" s="16"/>
      <c r="J622" s="15"/>
      <c r="K622" s="11"/>
    </row>
    <row r="623" spans="9:11">
      <c r="I623" s="16"/>
      <c r="J623" s="15"/>
      <c r="K623" s="11"/>
    </row>
    <row r="624" spans="9:11">
      <c r="I624" s="16"/>
      <c r="J624" s="15"/>
      <c r="K624" s="11"/>
    </row>
    <row r="625" spans="9:11">
      <c r="I625" s="16"/>
      <c r="J625" s="15"/>
      <c r="K625" s="11"/>
    </row>
    <row r="626" spans="9:11">
      <c r="I626" s="16"/>
      <c r="J626" s="15"/>
      <c r="K626" s="11"/>
    </row>
    <row r="627" spans="9:11">
      <c r="I627" s="16"/>
      <c r="J627" s="15"/>
      <c r="K627" s="11"/>
    </row>
    <row r="628" spans="9:11">
      <c r="I628" s="16"/>
      <c r="J628" s="15"/>
      <c r="K628" s="11"/>
    </row>
    <row r="629" spans="9:11">
      <c r="I629" s="16"/>
      <c r="J629" s="15"/>
      <c r="K629" s="11"/>
    </row>
    <row r="630" spans="9:11">
      <c r="I630" s="16"/>
      <c r="J630" s="15"/>
      <c r="K630" s="11"/>
    </row>
    <row r="631" spans="9:11">
      <c r="I631" s="16"/>
      <c r="J631" s="15"/>
      <c r="K631" s="11"/>
    </row>
    <row r="632" spans="9:11">
      <c r="I632" s="16"/>
      <c r="J632" s="15"/>
      <c r="K632" s="11"/>
    </row>
    <row r="633" spans="9:11">
      <c r="I633" s="16"/>
      <c r="J633" s="15"/>
      <c r="K633" s="11"/>
    </row>
    <row r="634" spans="9:11">
      <c r="I634" s="16"/>
      <c r="J634" s="15"/>
      <c r="K634" s="11"/>
    </row>
    <row r="635" spans="9:11">
      <c r="I635" s="16"/>
      <c r="J635" s="15"/>
      <c r="K635" s="11"/>
    </row>
    <row r="636" spans="9:11">
      <c r="I636" s="16"/>
      <c r="J636" s="15"/>
      <c r="K636" s="11"/>
    </row>
    <row r="637" spans="9:11">
      <c r="I637" s="16"/>
      <c r="J637" s="15"/>
      <c r="K637" s="11"/>
    </row>
    <row r="638" spans="9:11">
      <c r="I638" s="16"/>
      <c r="J638" s="15"/>
      <c r="K638" s="11"/>
    </row>
    <row r="639" spans="9:11">
      <c r="I639" s="16"/>
      <c r="J639" s="15"/>
      <c r="K639" s="11"/>
    </row>
    <row r="640" spans="9:11">
      <c r="I640" s="16"/>
      <c r="J640" s="15"/>
      <c r="K640" s="11"/>
    </row>
    <row r="641" spans="9:11">
      <c r="I641" s="16"/>
      <c r="J641" s="15"/>
      <c r="K641" s="11"/>
    </row>
    <row r="642" spans="9:11">
      <c r="I642" s="16"/>
      <c r="J642" s="15"/>
      <c r="K642" s="11"/>
    </row>
    <row r="643" spans="9:11">
      <c r="I643" s="16"/>
      <c r="J643" s="15"/>
      <c r="K643" s="11"/>
    </row>
    <row r="644" spans="9:11">
      <c r="I644" s="16"/>
      <c r="J644" s="15"/>
      <c r="K644" s="11"/>
    </row>
    <row r="645" spans="9:11">
      <c r="I645" s="16"/>
      <c r="J645" s="15"/>
      <c r="K645" s="11"/>
    </row>
    <row r="646" spans="9:11">
      <c r="I646" s="16"/>
      <c r="J646" s="15"/>
      <c r="K646" s="11"/>
    </row>
    <row r="647" spans="9:11">
      <c r="I647" s="16"/>
      <c r="J647" s="15"/>
      <c r="K647" s="11"/>
    </row>
    <row r="648" spans="9:11">
      <c r="I648" s="16"/>
      <c r="J648" s="15"/>
      <c r="K648" s="11"/>
    </row>
    <row r="649" spans="9:11">
      <c r="I649" s="16"/>
      <c r="J649" s="15"/>
      <c r="K649" s="11"/>
    </row>
    <row r="650" spans="9:11">
      <c r="I650" s="16"/>
      <c r="J650" s="15"/>
      <c r="K650" s="11"/>
    </row>
    <row r="651" spans="9:11">
      <c r="I651" s="16"/>
      <c r="J651" s="15"/>
      <c r="K651" s="11"/>
    </row>
    <row r="652" spans="9:11">
      <c r="I652" s="16"/>
      <c r="J652" s="15"/>
      <c r="K652" s="11"/>
    </row>
    <row r="653" spans="9:11">
      <c r="I653" s="16"/>
      <c r="J653" s="15"/>
      <c r="K653" s="11"/>
    </row>
    <row r="654" spans="9:11">
      <c r="I654" s="16"/>
      <c r="J654" s="15"/>
      <c r="K654" s="11"/>
    </row>
    <row r="655" spans="9:11">
      <c r="I655" s="16"/>
      <c r="J655" s="15"/>
      <c r="K655" s="11"/>
    </row>
    <row r="656" spans="9:11">
      <c r="I656" s="16"/>
      <c r="J656" s="15"/>
      <c r="K656" s="11"/>
    </row>
    <row r="657" spans="9:11">
      <c r="I657" s="16"/>
      <c r="J657" s="15"/>
      <c r="K657" s="11"/>
    </row>
    <row r="658" spans="9:11">
      <c r="I658" s="16"/>
      <c r="J658" s="15"/>
      <c r="K658" s="11"/>
    </row>
    <row r="659" spans="9:11">
      <c r="I659" s="16"/>
      <c r="J659" s="15"/>
      <c r="K659" s="11"/>
    </row>
    <row r="660" spans="9:11">
      <c r="I660" s="16"/>
      <c r="J660" s="15"/>
      <c r="K660" s="11"/>
    </row>
    <row r="661" spans="9:11">
      <c r="I661" s="16"/>
      <c r="J661" s="15"/>
      <c r="K661" s="11"/>
    </row>
    <row r="662" spans="9:11">
      <c r="I662" s="16"/>
      <c r="J662" s="15"/>
      <c r="K662" s="11"/>
    </row>
    <row r="663" spans="9:11">
      <c r="I663" s="16"/>
      <c r="J663" s="15"/>
      <c r="K663" s="11"/>
    </row>
    <row r="664" spans="9:11">
      <c r="I664" s="16"/>
      <c r="J664" s="15"/>
      <c r="K664" s="11"/>
    </row>
    <row r="665" spans="9:11">
      <c r="I665" s="16"/>
      <c r="J665" s="15"/>
      <c r="K665" s="11"/>
    </row>
    <row r="666" spans="9:11">
      <c r="I666" s="16"/>
      <c r="J666" s="15"/>
      <c r="K666" s="11"/>
    </row>
    <row r="667" spans="9:11">
      <c r="I667" s="16"/>
      <c r="J667" s="15"/>
      <c r="K667" s="11"/>
    </row>
    <row r="668" spans="9:11">
      <c r="I668" s="16"/>
      <c r="J668" s="15"/>
      <c r="K668" s="11"/>
    </row>
    <row r="669" spans="9:11">
      <c r="I669" s="16"/>
      <c r="J669" s="15"/>
      <c r="K669" s="11"/>
    </row>
    <row r="670" spans="9:11">
      <c r="I670" s="16"/>
      <c r="J670" s="15"/>
      <c r="K670" s="11"/>
    </row>
    <row r="671" spans="9:11">
      <c r="I671" s="16"/>
      <c r="J671" s="15"/>
      <c r="K671" s="11"/>
    </row>
    <row r="672" spans="9:11">
      <c r="I672" s="16"/>
      <c r="J672" s="15"/>
      <c r="K672" s="11"/>
    </row>
    <row r="673" spans="9:11">
      <c r="I673" s="16"/>
      <c r="J673" s="15"/>
      <c r="K673" s="11"/>
    </row>
    <row r="674" spans="9:11">
      <c r="I674" s="16"/>
      <c r="J674" s="15"/>
      <c r="K674" s="11"/>
    </row>
    <row r="675" spans="9:11">
      <c r="I675" s="16"/>
      <c r="J675" s="15"/>
      <c r="K675" s="11"/>
    </row>
    <row r="676" spans="9:11">
      <c r="I676" s="16"/>
      <c r="J676" s="15"/>
      <c r="K676" s="11"/>
    </row>
    <row r="677" spans="9:11">
      <c r="I677" s="16"/>
      <c r="J677" s="15"/>
      <c r="K677" s="11"/>
    </row>
    <row r="678" spans="9:11">
      <c r="I678" s="16"/>
      <c r="J678" s="15"/>
      <c r="K678" s="11"/>
    </row>
    <row r="679" spans="9:11">
      <c r="I679" s="24"/>
      <c r="J679" s="25"/>
      <c r="K679" s="26"/>
    </row>
    <row r="680" spans="9:11">
      <c r="I680" s="16"/>
      <c r="J680" s="15"/>
      <c r="K680" s="11"/>
    </row>
    <row r="681" spans="9:11" ht="15.75" thickBot="1">
      <c r="I681" s="27"/>
      <c r="J681" s="28"/>
      <c r="K681" s="29"/>
    </row>
    <row r="682" spans="9:11">
      <c r="I682" s="17"/>
    </row>
    <row r="683" spans="9:11">
      <c r="I683" s="17"/>
    </row>
    <row r="684" spans="9:11">
      <c r="I684" s="17"/>
    </row>
    <row r="685" spans="9:11">
      <c r="I685" s="17"/>
    </row>
    <row r="686" spans="9:11">
      <c r="I686" s="17"/>
    </row>
  </sheetData>
  <phoneticPr fontId="71" type="noConversion"/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CalculateVasicek">
                <anchor moveWithCells="1">
                  <from>
                    <xdr:col>8</xdr:col>
                    <xdr:colOff>552450</xdr:colOff>
                    <xdr:row>1</xdr:row>
                    <xdr:rowOff>114300</xdr:rowOff>
                  </from>
                  <to>
                    <xdr:col>8</xdr:col>
                    <xdr:colOff>1209675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IR-Cred</vt:lpstr>
      <vt:lpstr>'IR-Cred'!CDSDAtes</vt:lpstr>
      <vt:lpstr>'IR-Cred'!Coupon</vt:lpstr>
      <vt:lpstr>'IR-Cred'!CreditParams</vt:lpstr>
      <vt:lpstr>'IR-Cred'!HW</vt:lpstr>
      <vt:lpstr>'IR-Cred'!IRParams</vt:lpstr>
      <vt:lpstr>'IR-Cred'!Montecarlo</vt:lpstr>
      <vt:lpstr>Nominal</vt:lpstr>
      <vt:lpstr>'IR-Cred'!Recovery</vt:lpstr>
      <vt:lpstr>'IR-Cred'!Results</vt:lpstr>
      <vt:lpstr>'IR-Cred'!ValueDate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</dc:creator>
  <cp:lastModifiedBy>Docente 5</cp:lastModifiedBy>
  <dcterms:created xsi:type="dcterms:W3CDTF">2013-03-06T08:13:27Z</dcterms:created>
  <dcterms:modified xsi:type="dcterms:W3CDTF">2019-05-17T16:40:48Z</dcterms:modified>
</cp:coreProperties>
</file>
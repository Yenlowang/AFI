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Z:\Crédito\Juan Esteban Palomar\"/>
    </mc:Choice>
  </mc:AlternateContent>
  <xr:revisionPtr revIDLastSave="0" documentId="13_ncr:1_{954950D8-2E4A-40E5-B494-FD07E15090D1}" xr6:coauthVersionLast="36" xr6:coauthVersionMax="36" xr10:uidLastSave="{00000000-0000-0000-0000-000000000000}"/>
  <bookViews>
    <workbookView xWindow="0" yWindow="0" windowWidth="19200" windowHeight="8025" tabRatio="604" xr2:uid="{00000000-000D-0000-FFFF-FFFF00000000}"/>
  </bookViews>
  <sheets>
    <sheet name="monthly" sheetId="5" r:id="rId1"/>
  </sheets>
  <functionGroups builtInGroupCount="19"/>
  <calcPr calcId="191029" calcMode="manual" calcCompleted="0" calcOnSave="0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H6" i="5" l="1"/>
  <c r="L42" i="5" l="1"/>
  <c r="M42" i="5" s="1"/>
  <c r="L5" i="5"/>
  <c r="M5" i="5" s="1"/>
  <c r="Q5" i="5"/>
  <c r="Q2" i="5"/>
  <c r="I6" i="5" l="1"/>
  <c r="K5" i="5"/>
  <c r="N5" i="5" s="1"/>
  <c r="O5" i="5" s="1"/>
  <c r="J5" i="5"/>
  <c r="P5" i="5"/>
  <c r="R5" i="5"/>
  <c r="V5" i="5"/>
  <c r="Y5" i="5"/>
  <c r="AD5" i="5"/>
  <c r="AA5" i="5"/>
  <c r="K6" i="5" l="1"/>
  <c r="K7" i="5" s="1"/>
  <c r="I7" i="5"/>
  <c r="L6" i="5"/>
  <c r="M6" i="5" s="1"/>
  <c r="S5" i="5"/>
  <c r="J6" i="5"/>
  <c r="H7" i="5"/>
  <c r="J7" i="5"/>
  <c r="T5" i="5"/>
  <c r="Z5" i="5"/>
  <c r="AE5" i="5"/>
  <c r="Y6" i="5"/>
  <c r="AA6" i="5"/>
  <c r="AC6" i="5"/>
  <c r="Q6" i="5"/>
  <c r="R6" i="5"/>
  <c r="P6" i="5"/>
  <c r="X6" i="5"/>
  <c r="Q7" i="5"/>
  <c r="P7" i="5"/>
  <c r="AD6" i="5"/>
  <c r="X7" i="5"/>
  <c r="V6" i="5"/>
  <c r="AD7" i="5"/>
  <c r="Y7" i="5"/>
  <c r="AC7" i="5"/>
  <c r="R7" i="5"/>
  <c r="AA7" i="5"/>
  <c r="V7" i="5"/>
  <c r="T6" i="5" l="1"/>
  <c r="AE6" i="5"/>
  <c r="N6" i="5"/>
  <c r="O6" i="5" s="1"/>
  <c r="I8" i="5"/>
  <c r="K8" i="5" s="1"/>
  <c r="L7" i="5"/>
  <c r="M7" i="5" s="1"/>
  <c r="N7" i="5" s="1"/>
  <c r="O7" i="5" s="1"/>
  <c r="AB5" i="5"/>
  <c r="T7" i="5"/>
  <c r="AE7" i="5"/>
  <c r="W5" i="5"/>
  <c r="U5" i="5"/>
  <c r="S6" i="5"/>
  <c r="Z7" i="5"/>
  <c r="Z6" i="5"/>
  <c r="AF5" i="5"/>
  <c r="AG5" i="5" s="1"/>
  <c r="AI5" i="5" s="1"/>
  <c r="R8" i="5"/>
  <c r="X8" i="5"/>
  <c r="AD8" i="5"/>
  <c r="V8" i="5"/>
  <c r="Q8" i="5"/>
  <c r="P8" i="5"/>
  <c r="AC8" i="5"/>
  <c r="Y8" i="5"/>
  <c r="AF6" i="5" l="1"/>
  <c r="I9" i="5"/>
  <c r="L8" i="5"/>
  <c r="M8" i="5" s="1"/>
  <c r="N8" i="5" s="1"/>
  <c r="O8" i="5" s="1"/>
  <c r="H8" i="5"/>
  <c r="S7" i="5" s="1"/>
  <c r="J8" i="5"/>
  <c r="T8" i="5"/>
  <c r="K9" i="5"/>
  <c r="Z8" i="5"/>
  <c r="AF7" i="5"/>
  <c r="AG7" i="5" s="1"/>
  <c r="AI7" i="5" s="1"/>
  <c r="AB6" i="5"/>
  <c r="U6" i="5"/>
  <c r="W6" i="5"/>
  <c r="AG6" i="5"/>
  <c r="AH6" i="5" s="1"/>
  <c r="AJ5" i="5"/>
  <c r="AK5" i="5" s="1"/>
  <c r="AL5" i="5" s="1"/>
  <c r="AH5" i="5"/>
  <c r="AA8" i="5"/>
  <c r="X9" i="5"/>
  <c r="R9" i="5"/>
  <c r="AA9" i="5"/>
  <c r="P9" i="5"/>
  <c r="Q9" i="5"/>
  <c r="Y9" i="5"/>
  <c r="AC9" i="5"/>
  <c r="AD9" i="5"/>
  <c r="AE8" i="5" l="1"/>
  <c r="AB7" i="5"/>
  <c r="W7" i="5"/>
  <c r="U7" i="5"/>
  <c r="I10" i="5"/>
  <c r="L9" i="5"/>
  <c r="M9" i="5" s="1"/>
  <c r="N9" i="5" s="1"/>
  <c r="O9" i="5" s="1"/>
  <c r="H9" i="5"/>
  <c r="S8" i="5" s="1"/>
  <c r="AB8" i="5" s="1"/>
  <c r="J9" i="5"/>
  <c r="K10" i="5"/>
  <c r="AF8" i="5"/>
  <c r="AG8" i="5" s="1"/>
  <c r="AI8" i="5" s="1"/>
  <c r="T9" i="5"/>
  <c r="AE9" i="5"/>
  <c r="AJ6" i="5"/>
  <c r="AK6" i="5" s="1"/>
  <c r="AI6" i="5"/>
  <c r="AH7" i="5"/>
  <c r="P10" i="5"/>
  <c r="AC10" i="5"/>
  <c r="R10" i="5"/>
  <c r="V9" i="5"/>
  <c r="AD10" i="5"/>
  <c r="AA10" i="5"/>
  <c r="X10" i="5"/>
  <c r="Q10" i="5"/>
  <c r="Y10" i="5"/>
  <c r="Z9" i="5" l="1"/>
  <c r="AF9" i="5" s="1"/>
  <c r="AG9" i="5" s="1"/>
  <c r="U8" i="5"/>
  <c r="W8" i="5"/>
  <c r="I11" i="5"/>
  <c r="K11" i="5" s="1"/>
  <c r="K12" i="5" s="1"/>
  <c r="L10" i="5"/>
  <c r="M10" i="5" s="1"/>
  <c r="N10" i="5" s="1"/>
  <c r="O10" i="5" s="1"/>
  <c r="H10" i="5"/>
  <c r="S9" i="5" s="1"/>
  <c r="AB9" i="5" s="1"/>
  <c r="J10" i="5"/>
  <c r="T10" i="5"/>
  <c r="AE10" i="5"/>
  <c r="AL6" i="5"/>
  <c r="AJ7" i="5"/>
  <c r="AH8" i="5"/>
  <c r="AC11" i="5"/>
  <c r="V10" i="5"/>
  <c r="X11" i="5"/>
  <c r="Q11" i="5"/>
  <c r="P11" i="5"/>
  <c r="R11" i="5"/>
  <c r="U9" i="5" l="1"/>
  <c r="W9" i="5"/>
  <c r="T11" i="5"/>
  <c r="Z10" i="5"/>
  <c r="AF10" i="5" s="1"/>
  <c r="AG10" i="5" s="1"/>
  <c r="I12" i="5"/>
  <c r="L11" i="5"/>
  <c r="M11" i="5" s="1"/>
  <c r="N11" i="5" s="1"/>
  <c r="O11" i="5" s="1"/>
  <c r="H11" i="5"/>
  <c r="S10" i="5" s="1"/>
  <c r="AB10" i="5" s="1"/>
  <c r="J11" i="5"/>
  <c r="AJ8" i="5"/>
  <c r="AK7" i="5"/>
  <c r="AL7" i="5" s="1"/>
  <c r="AI9" i="5"/>
  <c r="AH9" i="5"/>
  <c r="V11" i="5"/>
  <c r="AC12" i="5"/>
  <c r="Y11" i="5"/>
  <c r="R12" i="5"/>
  <c r="P12" i="5"/>
  <c r="X12" i="5"/>
  <c r="Q12" i="5"/>
  <c r="AD11" i="5"/>
  <c r="AA11" i="5"/>
  <c r="U10" i="5" l="1"/>
  <c r="AE11" i="5"/>
  <c r="T12" i="5"/>
  <c r="Z11" i="5"/>
  <c r="AF11" i="5" s="1"/>
  <c r="AG11" i="5" s="1"/>
  <c r="AH11" i="5" s="1"/>
  <c r="W10" i="5"/>
  <c r="I13" i="5"/>
  <c r="L12" i="5"/>
  <c r="M12" i="5" s="1"/>
  <c r="N12" i="5" s="1"/>
  <c r="O12" i="5" s="1"/>
  <c r="H12" i="5"/>
  <c r="S11" i="5" s="1"/>
  <c r="W11" i="5" s="1"/>
  <c r="J12" i="5"/>
  <c r="AK8" i="5"/>
  <c r="AL8" i="5" s="1"/>
  <c r="AJ9" i="5"/>
  <c r="AI10" i="5"/>
  <c r="AH10" i="5"/>
  <c r="Y12" i="5"/>
  <c r="AA12" i="5"/>
  <c r="V12" i="5"/>
  <c r="AD12" i="5"/>
  <c r="AB11" i="5" l="1"/>
  <c r="Z12" i="5"/>
  <c r="AE12" i="5"/>
  <c r="AF12" i="5" s="1"/>
  <c r="AG12" i="5" s="1"/>
  <c r="U11" i="5"/>
  <c r="I14" i="5"/>
  <c r="L13" i="5"/>
  <c r="M13" i="5" s="1"/>
  <c r="H13" i="5"/>
  <c r="S12" i="5" s="1"/>
  <c r="J13" i="5"/>
  <c r="K13" i="5"/>
  <c r="AK9" i="5"/>
  <c r="AL9" i="5" s="1"/>
  <c r="AJ10" i="5"/>
  <c r="AI11" i="5"/>
  <c r="P13" i="5"/>
  <c r="R13" i="5"/>
  <c r="AC13" i="5"/>
  <c r="X13" i="5"/>
  <c r="Q13" i="5"/>
  <c r="V13" i="5"/>
  <c r="AA13" i="5"/>
  <c r="AD13" i="5"/>
  <c r="Y13" i="5"/>
  <c r="N13" i="5" l="1"/>
  <c r="O13" i="5" s="1"/>
  <c r="AE13" i="5"/>
  <c r="Z13" i="5"/>
  <c r="T13" i="5"/>
  <c r="AF13" i="5" s="1"/>
  <c r="AG13" i="5" s="1"/>
  <c r="AB12" i="5"/>
  <c r="W12" i="5"/>
  <c r="U12" i="5"/>
  <c r="I15" i="5"/>
  <c r="L14" i="5"/>
  <c r="M14" i="5" s="1"/>
  <c r="J14" i="5"/>
  <c r="H14" i="5"/>
  <c r="S13" i="5" s="1"/>
  <c r="K14" i="5"/>
  <c r="AK10" i="5"/>
  <c r="AL10" i="5" s="1"/>
  <c r="AJ11" i="5"/>
  <c r="AK11" i="5" s="1"/>
  <c r="AL11" i="5" s="1"/>
  <c r="AI12" i="5"/>
  <c r="AH12" i="5"/>
  <c r="AD14" i="5"/>
  <c r="P14" i="5"/>
  <c r="X14" i="5"/>
  <c r="R14" i="5"/>
  <c r="AC14" i="5"/>
  <c r="Q14" i="5"/>
  <c r="V14" i="5"/>
  <c r="Y14" i="5"/>
  <c r="AA14" i="5"/>
  <c r="N14" i="5" l="1"/>
  <c r="O14" i="5" s="1"/>
  <c r="AE14" i="5"/>
  <c r="Z14" i="5"/>
  <c r="T14" i="5"/>
  <c r="AF14" i="5" s="1"/>
  <c r="AG14" i="5" s="1"/>
  <c r="U13" i="5"/>
  <c r="W13" i="5"/>
  <c r="AB13" i="5"/>
  <c r="K15" i="5"/>
  <c r="I16" i="5"/>
  <c r="L15" i="5"/>
  <c r="M15" i="5" s="1"/>
  <c r="H15" i="5"/>
  <c r="S14" i="5" s="1"/>
  <c r="J15" i="5"/>
  <c r="AJ12" i="5"/>
  <c r="AK12" i="5" s="1"/>
  <c r="AL12" i="5" s="1"/>
  <c r="AH13" i="5"/>
  <c r="AI13" i="5"/>
  <c r="AC15" i="5"/>
  <c r="R15" i="5"/>
  <c r="X15" i="5"/>
  <c r="P15" i="5"/>
  <c r="Q15" i="5"/>
  <c r="AA15" i="5"/>
  <c r="AD15" i="5"/>
  <c r="V15" i="5"/>
  <c r="Y15" i="5"/>
  <c r="N15" i="5" l="1"/>
  <c r="O15" i="5" s="1"/>
  <c r="Z15" i="5"/>
  <c r="AE15" i="5"/>
  <c r="T15" i="5"/>
  <c r="AF15" i="5" s="1"/>
  <c r="AG15" i="5" s="1"/>
  <c r="U14" i="5"/>
  <c r="AB14" i="5"/>
  <c r="W14" i="5"/>
  <c r="I17" i="5"/>
  <c r="L16" i="5"/>
  <c r="M16" i="5" s="1"/>
  <c r="H16" i="5"/>
  <c r="S15" i="5" s="1"/>
  <c r="J16" i="5"/>
  <c r="K16" i="5"/>
  <c r="AJ13" i="5"/>
  <c r="AK13" i="5" s="1"/>
  <c r="AL13" i="5" s="1"/>
  <c r="AI14" i="5"/>
  <c r="AH14" i="5"/>
  <c r="AD16" i="5"/>
  <c r="X16" i="5"/>
  <c r="R16" i="5"/>
  <c r="AC16" i="5"/>
  <c r="P16" i="5"/>
  <c r="Q16" i="5"/>
  <c r="Y16" i="5"/>
  <c r="V16" i="5"/>
  <c r="AA16" i="5"/>
  <c r="AE16" i="5" l="1"/>
  <c r="Z16" i="5"/>
  <c r="T16" i="5"/>
  <c r="AF16" i="5"/>
  <c r="AG16" i="5" s="1"/>
  <c r="AH16" i="5" s="1"/>
  <c r="U15" i="5"/>
  <c r="AB15" i="5"/>
  <c r="W15" i="5"/>
  <c r="S16" i="5"/>
  <c r="AB16" i="5" s="1"/>
  <c r="N16" i="5"/>
  <c r="O16" i="5" s="1"/>
  <c r="K17" i="5"/>
  <c r="I18" i="5"/>
  <c r="L17" i="5"/>
  <c r="M17" i="5" s="1"/>
  <c r="J17" i="5"/>
  <c r="H17" i="5"/>
  <c r="AJ14" i="5"/>
  <c r="AK14" i="5" s="1"/>
  <c r="AL14" i="5" s="1"/>
  <c r="AI15" i="5"/>
  <c r="AH15" i="5"/>
  <c r="AA17" i="5"/>
  <c r="X17" i="5"/>
  <c r="P17" i="5"/>
  <c r="Q17" i="5"/>
  <c r="R17" i="5"/>
  <c r="AC17" i="5"/>
  <c r="AD17" i="5"/>
  <c r="Y17" i="5"/>
  <c r="V17" i="5"/>
  <c r="N17" i="5" l="1"/>
  <c r="O17" i="5" s="1"/>
  <c r="Z17" i="5"/>
  <c r="T17" i="5"/>
  <c r="AE17" i="5"/>
  <c r="U16" i="5"/>
  <c r="I19" i="5"/>
  <c r="L18" i="5"/>
  <c r="M18" i="5" s="1"/>
  <c r="H18" i="5"/>
  <c r="S17" i="5" s="1"/>
  <c r="U17" i="5" s="1"/>
  <c r="J18" i="5"/>
  <c r="W16" i="5"/>
  <c r="K18" i="5"/>
  <c r="AJ15" i="5"/>
  <c r="AK15" i="5" s="1"/>
  <c r="AL15" i="5" s="1"/>
  <c r="AI16" i="5"/>
  <c r="AD18" i="5"/>
  <c r="AA18" i="5"/>
  <c r="V18" i="5"/>
  <c r="Y18" i="5"/>
  <c r="P18" i="5"/>
  <c r="Q18" i="5"/>
  <c r="X18" i="5"/>
  <c r="AC18" i="5"/>
  <c r="R18" i="5"/>
  <c r="AF17" i="5" l="1"/>
  <c r="AG17" i="5" s="1"/>
  <c r="AI17" i="5" s="1"/>
  <c r="W17" i="5"/>
  <c r="T18" i="5"/>
  <c r="Z18" i="5"/>
  <c r="AF18" i="5" s="1"/>
  <c r="AG18" i="5" s="1"/>
  <c r="AE18" i="5"/>
  <c r="K19" i="5"/>
  <c r="N18" i="5"/>
  <c r="O18" i="5" s="1"/>
  <c r="AB17" i="5"/>
  <c r="I20" i="5"/>
  <c r="L19" i="5"/>
  <c r="M19" i="5" s="1"/>
  <c r="H19" i="5"/>
  <c r="S18" i="5" s="1"/>
  <c r="J19" i="5"/>
  <c r="AJ16" i="5"/>
  <c r="AJ17" i="5" s="1"/>
  <c r="AH17" i="5"/>
  <c r="AC19" i="5"/>
  <c r="R19" i="5"/>
  <c r="X19" i="5"/>
  <c r="P19" i="5"/>
  <c r="Q19" i="5"/>
  <c r="V19" i="5"/>
  <c r="Y19" i="5"/>
  <c r="AA19" i="5"/>
  <c r="AD19" i="5"/>
  <c r="N19" i="5" l="1"/>
  <c r="O19" i="5" s="1"/>
  <c r="AE19" i="5"/>
  <c r="Z19" i="5"/>
  <c r="T19" i="5"/>
  <c r="AF19" i="5" s="1"/>
  <c r="AG19" i="5" s="1"/>
  <c r="AH19" i="5" s="1"/>
  <c r="W18" i="5"/>
  <c r="U18" i="5"/>
  <c r="AB18" i="5"/>
  <c r="I21" i="5"/>
  <c r="L20" i="5"/>
  <c r="M20" i="5" s="1"/>
  <c r="J20" i="5"/>
  <c r="H20" i="5"/>
  <c r="S19" i="5" s="1"/>
  <c r="K20" i="5"/>
  <c r="AJ18" i="5"/>
  <c r="AK16" i="5"/>
  <c r="AK17" i="5" s="1"/>
  <c r="AI18" i="5"/>
  <c r="AH18" i="5"/>
  <c r="AA20" i="5"/>
  <c r="AC20" i="5"/>
  <c r="P20" i="5"/>
  <c r="X20" i="5"/>
  <c r="Q20" i="5"/>
  <c r="R20" i="5"/>
  <c r="AD20" i="5"/>
  <c r="Y20" i="5"/>
  <c r="V20" i="5"/>
  <c r="N20" i="5" l="1"/>
  <c r="O20" i="5" s="1"/>
  <c r="Z20" i="5"/>
  <c r="T20" i="5"/>
  <c r="AE20" i="5"/>
  <c r="AB19" i="5"/>
  <c r="U19" i="5"/>
  <c r="W19" i="5"/>
  <c r="K21" i="5"/>
  <c r="I22" i="5"/>
  <c r="L21" i="5"/>
  <c r="M21" i="5" s="1"/>
  <c r="J21" i="5"/>
  <c r="H21" i="5"/>
  <c r="S20" i="5" s="1"/>
  <c r="AK18" i="5"/>
  <c r="AL18" i="5" s="1"/>
  <c r="AJ19" i="5"/>
  <c r="AL16" i="5"/>
  <c r="AL17" i="5"/>
  <c r="AI19" i="5"/>
  <c r="Q21" i="5"/>
  <c r="X21" i="5"/>
  <c r="P21" i="5"/>
  <c r="R21" i="5"/>
  <c r="AC21" i="5"/>
  <c r="AA21" i="5"/>
  <c r="V21" i="5"/>
  <c r="Y21" i="5"/>
  <c r="AD21" i="5"/>
  <c r="AF20" i="5" l="1"/>
  <c r="AG20" i="5" s="1"/>
  <c r="AI20" i="5" s="1"/>
  <c r="Z21" i="5"/>
  <c r="AE21" i="5"/>
  <c r="T21" i="5"/>
  <c r="AF21" i="5" s="1"/>
  <c r="AG21" i="5" s="1"/>
  <c r="AB20" i="5"/>
  <c r="U20" i="5"/>
  <c r="W20" i="5"/>
  <c r="N21" i="5"/>
  <c r="O21" i="5" s="1"/>
  <c r="I23" i="5"/>
  <c r="L22" i="5"/>
  <c r="M22" i="5" s="1"/>
  <c r="J22" i="5"/>
  <c r="H22" i="5"/>
  <c r="S21" i="5" s="1"/>
  <c r="K22" i="5"/>
  <c r="AK19" i="5"/>
  <c r="AL19" i="5" s="1"/>
  <c r="AD22" i="5"/>
  <c r="Y22" i="5"/>
  <c r="V22" i="5"/>
  <c r="X22" i="5"/>
  <c r="R22" i="5"/>
  <c r="P22" i="5"/>
  <c r="AC22" i="5"/>
  <c r="Q22" i="5"/>
  <c r="AA22" i="5"/>
  <c r="AH20" i="5" l="1"/>
  <c r="AJ20" i="5"/>
  <c r="N22" i="5"/>
  <c r="O22" i="5" s="1"/>
  <c r="AE22" i="5"/>
  <c r="T22" i="5"/>
  <c r="Z22" i="5"/>
  <c r="W21" i="5"/>
  <c r="AB21" i="5"/>
  <c r="U21" i="5"/>
  <c r="K23" i="5"/>
  <c r="J23" i="5"/>
  <c r="L23" i="5"/>
  <c r="M23" i="5" s="1"/>
  <c r="H23" i="5"/>
  <c r="S22" i="5" s="1"/>
  <c r="I24" i="5"/>
  <c r="AK20" i="5"/>
  <c r="AL20" i="5" s="1"/>
  <c r="AJ21" i="5"/>
  <c r="AI21" i="5"/>
  <c r="AH21" i="5"/>
  <c r="X23" i="5"/>
  <c r="R23" i="5"/>
  <c r="P23" i="5"/>
  <c r="Q23" i="5"/>
  <c r="AC23" i="5"/>
  <c r="AD23" i="5"/>
  <c r="Y23" i="5"/>
  <c r="V23" i="5"/>
  <c r="AA23" i="5"/>
  <c r="AF22" i="5" l="1"/>
  <c r="AG22" i="5" s="1"/>
  <c r="AH22" i="5" s="1"/>
  <c r="N23" i="5"/>
  <c r="O23" i="5" s="1"/>
  <c r="AE23" i="5"/>
  <c r="Z23" i="5"/>
  <c r="T23" i="5"/>
  <c r="W22" i="5"/>
  <c r="AB22" i="5"/>
  <c r="U22" i="5"/>
  <c r="L24" i="5"/>
  <c r="M24" i="5" s="1"/>
  <c r="I25" i="5"/>
  <c r="J24" i="5"/>
  <c r="H24" i="5"/>
  <c r="S23" i="5" s="1"/>
  <c r="K24" i="5"/>
  <c r="AK21" i="5"/>
  <c r="AL21" i="5" s="1"/>
  <c r="AD24" i="5"/>
  <c r="R24" i="5"/>
  <c r="X24" i="5"/>
  <c r="AC24" i="5"/>
  <c r="P24" i="5"/>
  <c r="Q24" i="5"/>
  <c r="Y24" i="5"/>
  <c r="AA24" i="5"/>
  <c r="V24" i="5"/>
  <c r="AI22" i="5" l="1"/>
  <c r="AJ22" i="5"/>
  <c r="AK22" i="5" s="1"/>
  <c r="AL22" i="5" s="1"/>
  <c r="AF23" i="5"/>
  <c r="AG23" i="5" s="1"/>
  <c r="AH23" i="5" s="1"/>
  <c r="Z24" i="5"/>
  <c r="AE24" i="5"/>
  <c r="T24" i="5"/>
  <c r="AB23" i="5"/>
  <c r="U23" i="5"/>
  <c r="W23" i="5"/>
  <c r="L25" i="5"/>
  <c r="M25" i="5" s="1"/>
  <c r="I26" i="5"/>
  <c r="J25" i="5"/>
  <c r="H25" i="5"/>
  <c r="S24" i="5" s="1"/>
  <c r="K25" i="5"/>
  <c r="N24" i="5"/>
  <c r="O24" i="5" s="1"/>
  <c r="J42" i="5"/>
  <c r="H42" i="5"/>
  <c r="Y25" i="5"/>
  <c r="AC25" i="5"/>
  <c r="R25" i="5"/>
  <c r="X25" i="5"/>
  <c r="P25" i="5"/>
  <c r="Q25" i="5"/>
  <c r="AD25" i="5"/>
  <c r="V25" i="5"/>
  <c r="AA25" i="5"/>
  <c r="AF24" i="5" l="1"/>
  <c r="AG24" i="5" s="1"/>
  <c r="AH24" i="5" s="1"/>
  <c r="AI23" i="5"/>
  <c r="AJ23" i="5"/>
  <c r="AJ24" i="5" s="1"/>
  <c r="AE25" i="5"/>
  <c r="Z25" i="5"/>
  <c r="T25" i="5"/>
  <c r="U24" i="5"/>
  <c r="W24" i="5"/>
  <c r="AB24" i="5"/>
  <c r="L26" i="5"/>
  <c r="M26" i="5" s="1"/>
  <c r="I27" i="5"/>
  <c r="J26" i="5"/>
  <c r="H26" i="5"/>
  <c r="S25" i="5" s="1"/>
  <c r="K26" i="5"/>
  <c r="N25" i="5"/>
  <c r="O25" i="5" s="1"/>
  <c r="AI24" i="5"/>
  <c r="V26" i="5"/>
  <c r="P26" i="5"/>
  <c r="Q26" i="5"/>
  <c r="X26" i="5"/>
  <c r="R26" i="5"/>
  <c r="AC26" i="5"/>
  <c r="AA26" i="5"/>
  <c r="AD26" i="5"/>
  <c r="Y26" i="5"/>
  <c r="AK23" i="5" l="1"/>
  <c r="AL23" i="5" s="1"/>
  <c r="AF25" i="5"/>
  <c r="AG25" i="5" s="1"/>
  <c r="AE26" i="5"/>
  <c r="T26" i="5"/>
  <c r="Z26" i="5"/>
  <c r="U25" i="5"/>
  <c r="AB25" i="5"/>
  <c r="W25" i="5"/>
  <c r="L27" i="5"/>
  <c r="M27" i="5" s="1"/>
  <c r="J27" i="5"/>
  <c r="H27" i="5"/>
  <c r="S26" i="5" s="1"/>
  <c r="I28" i="5"/>
  <c r="K27" i="5"/>
  <c r="N26" i="5"/>
  <c r="O26" i="5" s="1"/>
  <c r="AK24" i="5"/>
  <c r="AL24" i="5" s="1"/>
  <c r="AD27" i="5"/>
  <c r="R27" i="5"/>
  <c r="Q27" i="5"/>
  <c r="X27" i="5"/>
  <c r="AC27" i="5"/>
  <c r="P27" i="5"/>
  <c r="AA27" i="5"/>
  <c r="Y27" i="5"/>
  <c r="V27" i="5"/>
  <c r="AI25" i="5" l="1"/>
  <c r="AH25" i="5"/>
  <c r="AJ25" i="5"/>
  <c r="AF26" i="5"/>
  <c r="AG26" i="5" s="1"/>
  <c r="AI26" i="5" s="1"/>
  <c r="Z27" i="5"/>
  <c r="AE27" i="5"/>
  <c r="T27" i="5"/>
  <c r="AF27" i="5" s="1"/>
  <c r="W26" i="5"/>
  <c r="U26" i="5"/>
  <c r="AB26" i="5"/>
  <c r="L28" i="5"/>
  <c r="M28" i="5" s="1"/>
  <c r="I29" i="5"/>
  <c r="J28" i="5"/>
  <c r="H28" i="5"/>
  <c r="S27" i="5" s="1"/>
  <c r="K28" i="5"/>
  <c r="N27" i="5"/>
  <c r="O27" i="5" s="1"/>
  <c r="Q28" i="5"/>
  <c r="AA28" i="5"/>
  <c r="X28" i="5"/>
  <c r="R28" i="5"/>
  <c r="P28" i="5"/>
  <c r="AC28" i="5"/>
  <c r="V28" i="5"/>
  <c r="AD28" i="5"/>
  <c r="Y28" i="5"/>
  <c r="Z28" i="5" l="1"/>
  <c r="T28" i="5"/>
  <c r="AE28" i="5"/>
  <c r="L29" i="5"/>
  <c r="M29" i="5" s="1"/>
  <c r="J29" i="5"/>
  <c r="H29" i="5"/>
  <c r="I30" i="5"/>
  <c r="K29" i="5"/>
  <c r="N28" i="5"/>
  <c r="O28" i="5" s="1"/>
  <c r="AK25" i="5"/>
  <c r="AL25" i="5" s="1"/>
  <c r="AJ26" i="5"/>
  <c r="S28" i="5"/>
  <c r="U27" i="5"/>
  <c r="W27" i="5"/>
  <c r="AB27" i="5"/>
  <c r="AH26" i="5"/>
  <c r="AG27" i="5"/>
  <c r="AH27" i="5" s="1"/>
  <c r="Y29" i="5"/>
  <c r="AD29" i="5"/>
  <c r="AA29" i="5"/>
  <c r="V29" i="5"/>
  <c r="X29" i="5"/>
  <c r="P29" i="5"/>
  <c r="Q29" i="5"/>
  <c r="AC29" i="5"/>
  <c r="R29" i="5"/>
  <c r="AF28" i="5" l="1"/>
  <c r="T29" i="5"/>
  <c r="Z29" i="5"/>
  <c r="AE29" i="5"/>
  <c r="L30" i="5"/>
  <c r="M30" i="5" s="1"/>
  <c r="I31" i="5"/>
  <c r="J30" i="5"/>
  <c r="H30" i="5"/>
  <c r="S29" i="5" s="1"/>
  <c r="K30" i="5"/>
  <c r="K31" i="5" s="1"/>
  <c r="N29" i="5"/>
  <c r="O29" i="5" s="1"/>
  <c r="AK26" i="5"/>
  <c r="AL26" i="5" s="1"/>
  <c r="AI27" i="5"/>
  <c r="AJ27" i="5"/>
  <c r="W28" i="5"/>
  <c r="AB28" i="5"/>
  <c r="U28" i="5"/>
  <c r="AG28" i="5"/>
  <c r="R31" i="5"/>
  <c r="AA31" i="5"/>
  <c r="V31" i="5"/>
  <c r="Y30" i="5"/>
  <c r="Y31" i="5"/>
  <c r="V30" i="5"/>
  <c r="Q30" i="5"/>
  <c r="AA30" i="5"/>
  <c r="X30" i="5"/>
  <c r="AC30" i="5"/>
  <c r="R30" i="5"/>
  <c r="P30" i="5"/>
  <c r="AD30" i="5"/>
  <c r="Q31" i="5"/>
  <c r="X31" i="5"/>
  <c r="AD31" i="5"/>
  <c r="AC31" i="5"/>
  <c r="P31" i="5"/>
  <c r="AF29" i="5" l="1"/>
  <c r="N30" i="5"/>
  <c r="O30" i="5" s="1"/>
  <c r="AE30" i="5"/>
  <c r="Z30" i="5"/>
  <c r="L31" i="5"/>
  <c r="M31" i="5" s="1"/>
  <c r="N31" i="5" s="1"/>
  <c r="O31" i="5" s="1"/>
  <c r="J31" i="5"/>
  <c r="H31" i="5"/>
  <c r="I32" i="5"/>
  <c r="T30" i="5"/>
  <c r="L32" i="5" l="1"/>
  <c r="M32" i="5" s="1"/>
  <c r="J32" i="5"/>
  <c r="H32" i="5"/>
  <c r="I33" i="5"/>
  <c r="AJ28" i="5"/>
  <c r="AK27" i="5"/>
  <c r="AL27" i="5" s="1"/>
  <c r="AB29" i="5"/>
  <c r="U29" i="5"/>
  <c r="W29" i="5"/>
  <c r="S30" i="5"/>
  <c r="AI28" i="5"/>
  <c r="AH28" i="5"/>
  <c r="AG29" i="5"/>
  <c r="AF30" i="5"/>
  <c r="T31" i="5"/>
  <c r="Z31" i="5"/>
  <c r="AE31" i="5"/>
  <c r="K32" i="5"/>
  <c r="AA32" i="5"/>
  <c r="P32" i="5"/>
  <c r="Y32" i="5"/>
  <c r="R32" i="5"/>
  <c r="AC32" i="5"/>
  <c r="Q32" i="5"/>
  <c r="V32" i="5"/>
  <c r="X32" i="5"/>
  <c r="AD32" i="5"/>
  <c r="L33" i="5" l="1"/>
  <c r="M33" i="5" s="1"/>
  <c r="H33" i="5"/>
  <c r="I34" i="5"/>
  <c r="J33" i="5"/>
  <c r="N32" i="5"/>
  <c r="O32" i="5" s="1"/>
  <c r="T32" i="5"/>
  <c r="AK28" i="5"/>
  <c r="AL28" i="5" s="1"/>
  <c r="AH29" i="5"/>
  <c r="AJ29" i="5"/>
  <c r="W30" i="5"/>
  <c r="S31" i="5"/>
  <c r="U30" i="5"/>
  <c r="AB30" i="5"/>
  <c r="AI29" i="5"/>
  <c r="AG30" i="5"/>
  <c r="AI30" i="5" s="1"/>
  <c r="AF31" i="5"/>
  <c r="AE32" i="5"/>
  <c r="Z32" i="5"/>
  <c r="K33" i="5"/>
  <c r="Q33" i="5"/>
  <c r="AA33" i="5"/>
  <c r="X33" i="5"/>
  <c r="AC33" i="5"/>
  <c r="AD33" i="5"/>
  <c r="Y33" i="5"/>
  <c r="V33" i="5"/>
  <c r="R33" i="5"/>
  <c r="P33" i="5"/>
  <c r="L34" i="5" l="1"/>
  <c r="M34" i="5" s="1"/>
  <c r="I35" i="5"/>
  <c r="J34" i="5"/>
  <c r="H34" i="5"/>
  <c r="N33" i="5"/>
  <c r="O33" i="5" s="1"/>
  <c r="T33" i="5"/>
  <c r="AK29" i="5"/>
  <c r="AL29" i="5" s="1"/>
  <c r="AJ30" i="5"/>
  <c r="U31" i="5"/>
  <c r="AB31" i="5"/>
  <c r="W31" i="5"/>
  <c r="S32" i="5"/>
  <c r="AG31" i="5"/>
  <c r="AH31" i="5" s="1"/>
  <c r="AH30" i="5"/>
  <c r="AF32" i="5"/>
  <c r="Z33" i="5"/>
  <c r="AE33" i="5"/>
  <c r="K34" i="5"/>
  <c r="AD34" i="5"/>
  <c r="AC34" i="5"/>
  <c r="P34" i="5"/>
  <c r="Y34" i="5"/>
  <c r="V34" i="5"/>
  <c r="AA34" i="5"/>
  <c r="R34" i="5"/>
  <c r="X34" i="5"/>
  <c r="Q34" i="5"/>
  <c r="L35" i="5" l="1"/>
  <c r="M35" i="5" s="1"/>
  <c r="I36" i="5"/>
  <c r="J35" i="5"/>
  <c r="H35" i="5"/>
  <c r="N34" i="5"/>
  <c r="O34" i="5" s="1"/>
  <c r="T34" i="5"/>
  <c r="AJ31" i="5"/>
  <c r="AK30" i="5"/>
  <c r="AL30" i="5" s="1"/>
  <c r="W32" i="5"/>
  <c r="U32" i="5"/>
  <c r="AB32" i="5"/>
  <c r="S33" i="5"/>
  <c r="AI31" i="5"/>
  <c r="AG32" i="5"/>
  <c r="AH32" i="5" s="1"/>
  <c r="AF33" i="5"/>
  <c r="AE34" i="5"/>
  <c r="Z34" i="5"/>
  <c r="K35" i="5"/>
  <c r="AD35" i="5"/>
  <c r="AC35" i="5"/>
  <c r="V35" i="5"/>
  <c r="Y35" i="5"/>
  <c r="AA35" i="5"/>
  <c r="R35" i="5"/>
  <c r="X35" i="5"/>
  <c r="P35" i="5"/>
  <c r="Q35" i="5"/>
  <c r="L36" i="5" l="1"/>
  <c r="M36" i="5" s="1"/>
  <c r="I37" i="5"/>
  <c r="J36" i="5"/>
  <c r="H36" i="5"/>
  <c r="N35" i="5"/>
  <c r="O35" i="5" s="1"/>
  <c r="T35" i="5"/>
  <c r="AK31" i="5"/>
  <c r="AL31" i="5" s="1"/>
  <c r="AJ32" i="5"/>
  <c r="U33" i="5"/>
  <c r="W33" i="5"/>
  <c r="S34" i="5"/>
  <c r="AB33" i="5"/>
  <c r="AI32" i="5"/>
  <c r="AG33" i="5"/>
  <c r="AF34" i="5"/>
  <c r="AE35" i="5"/>
  <c r="Z35" i="5"/>
  <c r="K36" i="5"/>
  <c r="AD36" i="5"/>
  <c r="Y36" i="5"/>
  <c r="P36" i="5"/>
  <c r="AC36" i="5"/>
  <c r="R36" i="5"/>
  <c r="AA36" i="5"/>
  <c r="X36" i="5"/>
  <c r="V36" i="5"/>
  <c r="Q36" i="5"/>
  <c r="L37" i="5" l="1"/>
  <c r="M37" i="5" s="1"/>
  <c r="I38" i="5"/>
  <c r="J37" i="5"/>
  <c r="H37" i="5"/>
  <c r="N36" i="5"/>
  <c r="O36" i="5" s="1"/>
  <c r="T36" i="5"/>
  <c r="AK32" i="5"/>
  <c r="AL32" i="5" s="1"/>
  <c r="AJ33" i="5"/>
  <c r="W34" i="5"/>
  <c r="U34" i="5"/>
  <c r="S35" i="5"/>
  <c r="AB34" i="5"/>
  <c r="AH33" i="5"/>
  <c r="AI33" i="5"/>
  <c r="AG34" i="5"/>
  <c r="AI34" i="5" s="1"/>
  <c r="AF35" i="5"/>
  <c r="AE36" i="5"/>
  <c r="Z36" i="5"/>
  <c r="K37" i="5"/>
  <c r="Q37" i="5"/>
  <c r="Y37" i="5"/>
  <c r="V37" i="5"/>
  <c r="P37" i="5"/>
  <c r="AD37" i="5"/>
  <c r="AC37" i="5"/>
  <c r="AA37" i="5"/>
  <c r="R37" i="5"/>
  <c r="X37" i="5"/>
  <c r="L38" i="5" l="1"/>
  <c r="M38" i="5" s="1"/>
  <c r="I39" i="5"/>
  <c r="J38" i="5"/>
  <c r="H38" i="5"/>
  <c r="N37" i="5"/>
  <c r="O37" i="5" s="1"/>
  <c r="T37" i="5"/>
  <c r="AK33" i="5"/>
  <c r="AL33" i="5" s="1"/>
  <c r="AJ34" i="5"/>
  <c r="U35" i="5"/>
  <c r="W35" i="5"/>
  <c r="S36" i="5"/>
  <c r="AB35" i="5"/>
  <c r="AH34" i="5"/>
  <c r="AG35" i="5"/>
  <c r="AF36" i="5"/>
  <c r="AE37" i="5"/>
  <c r="Z37" i="5"/>
  <c r="K38" i="5"/>
  <c r="AD38" i="5"/>
  <c r="Y38" i="5"/>
  <c r="X38" i="5"/>
  <c r="P38" i="5"/>
  <c r="V38" i="5"/>
  <c r="AA38" i="5"/>
  <c r="AC38" i="5"/>
  <c r="R38" i="5"/>
  <c r="Q38" i="5"/>
  <c r="L39" i="5" l="1"/>
  <c r="M39" i="5" s="1"/>
  <c r="J39" i="5"/>
  <c r="H39" i="5"/>
  <c r="I40" i="5"/>
  <c r="N38" i="5"/>
  <c r="O38" i="5" s="1"/>
  <c r="AK34" i="5"/>
  <c r="AL34" i="5" s="1"/>
  <c r="AI35" i="5"/>
  <c r="AJ35" i="5"/>
  <c r="U36" i="5"/>
  <c r="W36" i="5"/>
  <c r="S37" i="5"/>
  <c r="AB36" i="5"/>
  <c r="AH35" i="5"/>
  <c r="AG36" i="5"/>
  <c r="AF37" i="5"/>
  <c r="AE38" i="5"/>
  <c r="Z38" i="5"/>
  <c r="K39" i="5"/>
  <c r="AD39" i="5"/>
  <c r="R39" i="5"/>
  <c r="Q39" i="5"/>
  <c r="L40" i="5" l="1"/>
  <c r="M40" i="5" s="1"/>
  <c r="I41" i="5"/>
  <c r="H40" i="5"/>
  <c r="J40" i="5"/>
  <c r="N39" i="5"/>
  <c r="O39" i="5" s="1"/>
  <c r="T38" i="5"/>
  <c r="V39" i="5"/>
  <c r="AA39" i="5"/>
  <c r="X39" i="5"/>
  <c r="AC39" i="5"/>
  <c r="Y39" i="5"/>
  <c r="P39" i="5"/>
  <c r="L41" i="5" l="1"/>
  <c r="M41" i="5" s="1"/>
  <c r="H41" i="5"/>
  <c r="J41" i="5"/>
  <c r="T39" i="5"/>
  <c r="AK35" i="5"/>
  <c r="AL35" i="5" s="1"/>
  <c r="AJ36" i="5"/>
  <c r="U37" i="5"/>
  <c r="S38" i="5"/>
  <c r="W37" i="5"/>
  <c r="AB37" i="5"/>
  <c r="AH36" i="5"/>
  <c r="AI36" i="5"/>
  <c r="AG37" i="5"/>
  <c r="AH37" i="5" s="1"/>
  <c r="AF38" i="5"/>
  <c r="AE39" i="5"/>
  <c r="Z39" i="5"/>
  <c r="K40" i="5"/>
  <c r="Y40" i="5"/>
  <c r="V40" i="5"/>
  <c r="R40" i="5"/>
  <c r="AC40" i="5"/>
  <c r="X40" i="5"/>
  <c r="Q40" i="5"/>
  <c r="P40" i="5"/>
  <c r="AA40" i="5"/>
  <c r="AD40" i="5"/>
  <c r="N40" i="5" l="1"/>
  <c r="O40" i="5" s="1"/>
  <c r="T40" i="5"/>
  <c r="AK36" i="5"/>
  <c r="AL36" i="5" s="1"/>
  <c r="AJ37" i="5"/>
  <c r="W38" i="5"/>
  <c r="S39" i="5"/>
  <c r="AB38" i="5"/>
  <c r="U38" i="5"/>
  <c r="AI37" i="5"/>
  <c r="AG38" i="5"/>
  <c r="AF39" i="5"/>
  <c r="AE40" i="5"/>
  <c r="Z40" i="5"/>
  <c r="K41" i="5"/>
  <c r="AD41" i="5"/>
  <c r="AA41" i="5"/>
  <c r="V41" i="5"/>
  <c r="AC41" i="5"/>
  <c r="R41" i="5"/>
  <c r="P41" i="5"/>
  <c r="X41" i="5"/>
  <c r="Q41" i="5"/>
  <c r="Y41" i="5"/>
  <c r="N41" i="5" l="1"/>
  <c r="O41" i="5" s="1"/>
  <c r="T41" i="5"/>
  <c r="AK37" i="5"/>
  <c r="AL37" i="5" s="1"/>
  <c r="AJ38" i="5"/>
  <c r="S40" i="5"/>
  <c r="S41" i="5" s="1"/>
  <c r="AB39" i="5"/>
  <c r="W39" i="5"/>
  <c r="U39" i="5"/>
  <c r="AH38" i="5"/>
  <c r="AI38" i="5"/>
  <c r="AG39" i="5"/>
  <c r="AF40" i="5"/>
  <c r="Z41" i="5"/>
  <c r="AE41" i="5"/>
  <c r="K42" i="5"/>
  <c r="Q42" i="5"/>
  <c r="Y42" i="5"/>
  <c r="AA42" i="5"/>
  <c r="R42" i="5"/>
  <c r="X42" i="5"/>
  <c r="AD42" i="5"/>
  <c r="AC42" i="5"/>
  <c r="V42" i="5"/>
  <c r="P42" i="5"/>
  <c r="N42" i="5" l="1"/>
  <c r="O42" i="5" s="1"/>
  <c r="AK38" i="5"/>
  <c r="AL38" i="5" s="1"/>
  <c r="AJ39" i="5"/>
  <c r="W41" i="5"/>
  <c r="U41" i="5"/>
  <c r="AB41" i="5"/>
  <c r="S42" i="5"/>
  <c r="W40" i="5"/>
  <c r="U40" i="5"/>
  <c r="AB40" i="5"/>
  <c r="AI39" i="5"/>
  <c r="AH39" i="5"/>
  <c r="AG40" i="5"/>
  <c r="AF41" i="5"/>
  <c r="AE42" i="5"/>
  <c r="Z42" i="5"/>
  <c r="AB42" i="5" l="1"/>
  <c r="S2" i="5"/>
  <c r="T42" i="5"/>
  <c r="AF42" i="5" s="1"/>
  <c r="AK39" i="5"/>
  <c r="AL39" i="5" s="1"/>
  <c r="AJ40" i="5"/>
  <c r="U42" i="5"/>
  <c r="W42" i="5"/>
  <c r="AH40" i="5"/>
  <c r="AI40" i="5"/>
  <c r="AG41" i="5"/>
  <c r="AK40" i="5" l="1"/>
  <c r="AL40" i="5" s="1"/>
  <c r="AJ41" i="5"/>
  <c r="AH41" i="5"/>
  <c r="AI41" i="5"/>
  <c r="AG42" i="5"/>
  <c r="AI42" i="5" s="1"/>
  <c r="AK41" i="5" l="1"/>
  <c r="AL41" i="5" s="1"/>
  <c r="AJ42" i="5"/>
  <c r="AH42" i="5"/>
  <c r="AK42" i="5" l="1"/>
  <c r="AL42" i="5" s="1"/>
</calcChain>
</file>

<file path=xl/sharedStrings.xml><?xml version="1.0" encoding="utf-8"?>
<sst xmlns="http://schemas.openxmlformats.org/spreadsheetml/2006/main" count="43" uniqueCount="43">
  <si>
    <t>Equity option</t>
  </si>
  <si>
    <t>Hedge Credit Params</t>
  </si>
  <si>
    <t>Maturity</t>
  </si>
  <si>
    <t>Time</t>
  </si>
  <si>
    <t>Lambda</t>
  </si>
  <si>
    <t>SurvProb</t>
  </si>
  <si>
    <t>Bond Value</t>
  </si>
  <si>
    <t>Jump</t>
  </si>
  <si>
    <t>HedgeBond1</t>
  </si>
  <si>
    <t>Der Hedge Bond 1</t>
  </si>
  <si>
    <t>Jump1</t>
  </si>
  <si>
    <t>B Hedge2</t>
  </si>
  <si>
    <t>Der Hedge Bond 2</t>
  </si>
  <si>
    <t>Jump2</t>
  </si>
  <si>
    <t>alpha</t>
  </si>
  <si>
    <t>beta</t>
  </si>
  <si>
    <t>current account</t>
  </si>
  <si>
    <t>P</t>
  </si>
  <si>
    <t>Value Date</t>
  </si>
  <si>
    <t>Flat fwd</t>
  </si>
  <si>
    <t>Interest rate</t>
  </si>
  <si>
    <t>Rate</t>
  </si>
  <si>
    <t>Mat Hedge 1</t>
  </si>
  <si>
    <t>Mat Hedge 2</t>
  </si>
  <si>
    <t>Recovery</t>
  </si>
  <si>
    <t>Old Hedge Bond 1</t>
  </si>
  <si>
    <t>Old Hedge Bond 2</t>
  </si>
  <si>
    <t>Check der</t>
  </si>
  <si>
    <t>Check jump</t>
  </si>
  <si>
    <t>Is Jump?</t>
  </si>
  <si>
    <t>P&amp;L</t>
  </si>
  <si>
    <t>DerBond</t>
  </si>
  <si>
    <t>K Jump</t>
  </si>
  <si>
    <t>Bond  with jump</t>
  </si>
  <si>
    <t>HedgeBond1 w Jump</t>
  </si>
  <si>
    <t>HedgeBond2 w Jump</t>
  </si>
  <si>
    <t>A</t>
  </si>
  <si>
    <t>B</t>
  </si>
  <si>
    <t>Mean Rev (k)</t>
  </si>
  <si>
    <t>Rev Level (θ)</t>
  </si>
  <si>
    <t>Vol (σ)</t>
  </si>
  <si>
    <t>survProb</t>
  </si>
  <si>
    <t>DerSurvProb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</si>
</sst>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\ _€_-;\-* #,##0.00\ _€_-;_-* &quot;-&quot;??\ _€_-;_-@_-"/>
    <numFmt numFmtId="164" formatCode="_-* #,##0.000000\ _€_-;\-* #,##0.000000\ _€_-;_-* &quot;-&quot;??\ _€_-;_-@_-"/>
    <numFmt numFmtId="165" formatCode="_-* #,##0.000000000\ _€_-;\-* #,##0.000000000\ _€_-;_-* &quot;-&quot;??\ _€_-;_-@_-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indexed="62"/>
      <name val="Calibri"/>
      <family val="2"/>
    </font>
    <font>
      <b/>
      <sz val="11"/>
      <color indexed="8"/>
      <name val="Calibri"/>
      <family val="2"/>
    </font>
    <font>
      <b/>
      <sz val="11"/>
      <color indexed="18"/>
      <name val="Calibri"/>
      <family val="2"/>
    </font>
    <font>
      <u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3">
    <xf numFmtId="0" fontId="0" fillId="0" borderId="0" xfId="0"/>
    <xf numFmtId="0" fontId="3" fillId="0" borderId="0" xfId="0" applyFont="1"/>
    <xf numFmtId="164" fontId="0" fillId="0" borderId="0" xfId="1" applyNumberFormat="1" applyFont="1"/>
    <xf numFmtId="0" fontId="4" fillId="0" borderId="1" xfId="0" applyFont="1" applyBorder="1"/>
    <xf numFmtId="15" fontId="5" fillId="2" borderId="2" xfId="0" applyNumberFormat="1" applyFont="1" applyFill="1" applyBorder="1" applyAlignment="1">
      <alignment horizontal="right"/>
    </xf>
    <xf numFmtId="0" fontId="4" fillId="0" borderId="3" xfId="0" applyFont="1" applyBorder="1"/>
    <xf numFmtId="0" fontId="5" fillId="2" borderId="4" xfId="0" applyFont="1" applyFill="1" applyBorder="1" applyAlignment="1">
      <alignment horizontal="right"/>
    </xf>
    <xf numFmtId="0" fontId="4" fillId="0" borderId="0" xfId="0" applyFont="1"/>
    <xf numFmtId="0" fontId="4" fillId="0" borderId="5" xfId="0" applyFont="1" applyBorder="1"/>
    <xf numFmtId="10" fontId="5" fillId="2" borderId="6" xfId="0" applyNumberFormat="1" applyFont="1" applyFill="1" applyBorder="1" applyAlignment="1">
      <alignment horizontal="right"/>
    </xf>
    <xf numFmtId="15" fontId="5" fillId="2" borderId="2" xfId="0" applyNumberFormat="1" applyFont="1" applyFill="1" applyBorder="1"/>
    <xf numFmtId="10" fontId="0" fillId="0" borderId="0" xfId="0" applyNumberFormat="1"/>
    <xf numFmtId="43" fontId="0" fillId="0" borderId="0" xfId="0" applyNumberFormat="1"/>
    <xf numFmtId="0" fontId="4" fillId="0" borderId="1" xfId="0" applyFont="1" applyFill="1" applyBorder="1"/>
    <xf numFmtId="10" fontId="5" fillId="2" borderId="6" xfId="2" applyNumberFormat="1" applyFont="1" applyFill="1" applyBorder="1" applyAlignment="1">
      <alignment horizontal="right"/>
    </xf>
    <xf numFmtId="15" fontId="0" fillId="0" borderId="0" xfId="0" applyNumberFormat="1"/>
    <xf numFmtId="10" fontId="1" fillId="0" borderId="0" xfId="2" applyNumberFormat="1" applyFont="1"/>
    <xf numFmtId="0" fontId="3" fillId="0" borderId="0" xfId="0" applyFont="1" applyFill="1" applyBorder="1"/>
    <xf numFmtId="0" fontId="0" fillId="0" borderId="0" xfId="0" applyFill="1" applyBorder="1"/>
    <xf numFmtId="0" fontId="4" fillId="0" borderId="7" xfId="0" applyFont="1" applyBorder="1"/>
    <xf numFmtId="10" fontId="5" fillId="2" borderId="8" xfId="0" applyNumberFormat="1" applyFont="1" applyFill="1" applyBorder="1" applyAlignment="1">
      <alignment horizontal="right"/>
    </xf>
    <xf numFmtId="10" fontId="5" fillId="2" borderId="2" xfId="0" applyNumberFormat="1" applyFont="1" applyFill="1" applyBorder="1"/>
    <xf numFmtId="0" fontId="2" fillId="0" borderId="3" xfId="0" applyFont="1" applyBorder="1"/>
    <xf numFmtId="43" fontId="5" fillId="2" borderId="4" xfId="1" applyFont="1" applyFill="1" applyBorder="1" applyAlignment="1">
      <alignment horizontal="right"/>
    </xf>
    <xf numFmtId="0" fontId="2" fillId="0" borderId="7" xfId="0" applyFont="1" applyBorder="1"/>
    <xf numFmtId="43" fontId="5" fillId="2" borderId="8" xfId="1" applyFont="1" applyFill="1" applyBorder="1" applyAlignment="1">
      <alignment horizontal="right"/>
    </xf>
    <xf numFmtId="0" fontId="2" fillId="0" borderId="0" xfId="0" applyFont="1"/>
    <xf numFmtId="0" fontId="0" fillId="0" borderId="0" xfId="0" applyFont="1"/>
    <xf numFmtId="11" fontId="0" fillId="0" borderId="0" xfId="0" applyNumberFormat="1"/>
    <xf numFmtId="165" fontId="0" fillId="0" borderId="0" xfId="0" applyNumberFormat="1"/>
    <xf numFmtId="0" fontId="2" fillId="0" borderId="1" xfId="0" applyFont="1" applyBorder="1"/>
    <xf numFmtId="43" fontId="5" fillId="2" borderId="2" xfId="1" applyFont="1" applyFill="1" applyBorder="1"/>
    <xf numFmtId="0" fontId="6" fillId="0" borderId="0" xfId="0" applyFont="1"/>
  </cellXfs>
  <cellStyles count="3">
    <cellStyle name="Millares" xfId="1" builtinId="3"/>
    <cellStyle name="Normal" xfId="0" builtinId="0"/>
    <cellStyle name="Porcentaje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476661209298857"/>
          <c:y val="4.7873273491428454E-2"/>
          <c:w val="0.67980682419640714"/>
          <c:h val="0.84216055895849995"/>
        </c:manualLayout>
      </c:layout>
      <c:scatterChart>
        <c:scatterStyle val="lineMarker"/>
        <c:varyColors val="0"/>
        <c:ser>
          <c:idx val="0"/>
          <c:order val="0"/>
          <c:tx>
            <c:v>Bond Value</c:v>
          </c:tx>
          <c:spPr>
            <a:ln w="28575">
              <a:noFill/>
            </a:ln>
          </c:spPr>
          <c:marker>
            <c:symbol val="diamond"/>
            <c:size val="4"/>
          </c:marker>
          <c:xVal>
            <c:numRef>
              <c:f>monthly!$H$6:$H$41</c:f>
              <c:numCache>
                <c:formatCode>General</c:formatCode>
                <c:ptCount val="36"/>
                <c:pt idx="0">
                  <c:v>8.2135523613963035E-2</c:v>
                </c:pt>
                <c:pt idx="1">
                  <c:v>0.16427104722792607</c:v>
                </c:pt>
                <c:pt idx="2">
                  <c:v>0.24640657084188911</c:v>
                </c:pt>
                <c:pt idx="3">
                  <c:v>0.32854209445585214</c:v>
                </c:pt>
                <c:pt idx="4">
                  <c:v>0.41067761806981518</c:v>
                </c:pt>
                <c:pt idx="5">
                  <c:v>0.49281314168377821</c:v>
                </c:pt>
                <c:pt idx="6">
                  <c:v>0.57494866529774125</c:v>
                </c:pt>
                <c:pt idx="7">
                  <c:v>0.65708418891170428</c:v>
                </c:pt>
                <c:pt idx="8">
                  <c:v>0.73921971252566732</c:v>
                </c:pt>
                <c:pt idx="9">
                  <c:v>0.82135523613963035</c:v>
                </c:pt>
                <c:pt idx="10">
                  <c:v>0.90349075975359339</c:v>
                </c:pt>
                <c:pt idx="11">
                  <c:v>0.98562628336755642</c:v>
                </c:pt>
                <c:pt idx="12">
                  <c:v>1.0677618069815196</c:v>
                </c:pt>
                <c:pt idx="13">
                  <c:v>1.1498973305954825</c:v>
                </c:pt>
                <c:pt idx="14">
                  <c:v>1.2320328542094456</c:v>
                </c:pt>
                <c:pt idx="15">
                  <c:v>1.3141683778234086</c:v>
                </c:pt>
                <c:pt idx="16">
                  <c:v>1.3963039014373717</c:v>
                </c:pt>
                <c:pt idx="17">
                  <c:v>1.4784394250513346</c:v>
                </c:pt>
                <c:pt idx="18">
                  <c:v>1.5605749486652978</c:v>
                </c:pt>
                <c:pt idx="19">
                  <c:v>1.6427104722792607</c:v>
                </c:pt>
                <c:pt idx="20">
                  <c:v>1.7248459958932238</c:v>
                </c:pt>
                <c:pt idx="21">
                  <c:v>1.8069815195071868</c:v>
                </c:pt>
                <c:pt idx="22">
                  <c:v>1.8891170431211499</c:v>
                </c:pt>
                <c:pt idx="23">
                  <c:v>1.9712525667351128</c:v>
                </c:pt>
                <c:pt idx="24">
                  <c:v>2.0533880903490758</c:v>
                </c:pt>
                <c:pt idx="25">
                  <c:v>2.1355236139630391</c:v>
                </c:pt>
                <c:pt idx="26">
                  <c:v>2.2176591375770021</c:v>
                </c:pt>
                <c:pt idx="27">
                  <c:v>2.299794661190965</c:v>
                </c:pt>
                <c:pt idx="28">
                  <c:v>2.3819301848049284</c:v>
                </c:pt>
                <c:pt idx="29">
                  <c:v>2.4640657084188913</c:v>
                </c:pt>
                <c:pt idx="30">
                  <c:v>2.5462012320328542</c:v>
                </c:pt>
                <c:pt idx="31">
                  <c:v>2.6283367556468171</c:v>
                </c:pt>
                <c:pt idx="32">
                  <c:v>2.7104722792607805</c:v>
                </c:pt>
                <c:pt idx="33">
                  <c:v>2.7926078028747434</c:v>
                </c:pt>
                <c:pt idx="34">
                  <c:v>2.8747433264887063</c:v>
                </c:pt>
                <c:pt idx="35">
                  <c:v>2.9568788501026693</c:v>
                </c:pt>
              </c:numCache>
            </c:numRef>
          </c:xVal>
          <c:yVal>
            <c:numRef>
              <c:f>monthly!$U$5:$U$41</c:f>
              <c:numCache>
                <c:formatCode>0.00%</c:formatCode>
                <c:ptCount val="37"/>
                <c:pt idx="0">
                  <c:v>0.78836162126390286</c:v>
                </c:pt>
                <c:pt idx="1">
                  <c:v>0.78872503446900455</c:v>
                </c:pt>
                <c:pt idx="2">
                  <c:v>0.79722165537513434</c:v>
                </c:pt>
                <c:pt idx="3">
                  <c:v>0.80751694054475853</c:v>
                </c:pt>
                <c:pt idx="4">
                  <c:v>0.81291076271510421</c:v>
                </c:pt>
                <c:pt idx="5">
                  <c:v>0.82922566205532833</c:v>
                </c:pt>
                <c:pt idx="6">
                  <c:v>0.82454234171392315</c:v>
                </c:pt>
                <c:pt idx="7">
                  <c:v>0.81398272854457143</c:v>
                </c:pt>
                <c:pt idx="8">
                  <c:v>0.84127487489962371</c:v>
                </c:pt>
                <c:pt idx="9">
                  <c:v>0.83898868540771343</c:v>
                </c:pt>
                <c:pt idx="10">
                  <c:v>0.85086838335475456</c:v>
                </c:pt>
                <c:pt idx="11">
                  <c:v>0.84949225456480071</c:v>
                </c:pt>
                <c:pt idx="12">
                  <c:v>0.86082232744667908</c:v>
                </c:pt>
                <c:pt idx="13">
                  <c:v>0.84741073290476099</c:v>
                </c:pt>
                <c:pt idx="14">
                  <c:v>0.85592597496067946</c:v>
                </c:pt>
                <c:pt idx="15">
                  <c:v>0.86301899592511266</c:v>
                </c:pt>
                <c:pt idx="16">
                  <c:v>0.86126856338317648</c:v>
                </c:pt>
                <c:pt idx="17">
                  <c:v>0.86588538772596668</c:v>
                </c:pt>
                <c:pt idx="18">
                  <c:v>0.87769514094739842</c:v>
                </c:pt>
                <c:pt idx="19">
                  <c:v>0.88464592927547114</c:v>
                </c:pt>
                <c:pt idx="20">
                  <c:v>0.89759168919670174</c:v>
                </c:pt>
                <c:pt idx="21">
                  <c:v>0.90673866779765278</c:v>
                </c:pt>
                <c:pt idx="22">
                  <c:v>0.91945220081899215</c:v>
                </c:pt>
                <c:pt idx="23">
                  <c:v>0.91904847504823173</c:v>
                </c:pt>
                <c:pt idx="24">
                  <c:v>0.92956500431643208</c:v>
                </c:pt>
                <c:pt idx="25">
                  <c:v>0.93527739298126622</c:v>
                </c:pt>
                <c:pt idx="26">
                  <c:v>0.93626114053084242</c:v>
                </c:pt>
                <c:pt idx="27">
                  <c:v>0.94391146199343001</c:v>
                </c:pt>
                <c:pt idx="28">
                  <c:v>0.95195647754114077</c:v>
                </c:pt>
                <c:pt idx="29">
                  <c:v>0.96075919666627008</c:v>
                </c:pt>
                <c:pt idx="30">
                  <c:v>0.96455956260925169</c:v>
                </c:pt>
                <c:pt idx="31">
                  <c:v>0.96987236002188126</c:v>
                </c:pt>
                <c:pt idx="32">
                  <c:v>0.97349650823089462</c:v>
                </c:pt>
                <c:pt idx="33">
                  <c:v>0.97817850852503208</c:v>
                </c:pt>
                <c:pt idx="34">
                  <c:v>0.98410627196038825</c:v>
                </c:pt>
                <c:pt idx="35">
                  <c:v>0.99104953507947724</c:v>
                </c:pt>
                <c:pt idx="36">
                  <c:v>0.99739438963131466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5C-4621-80D0-F451424F4EDE}"/>
            </c:ext>
          </c:extLst>
        </c:ser>
        <c:ser>
          <c:idx val="1"/>
          <c:order val="1"/>
          <c:tx>
            <c:v>Portfolio</c:v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monthly!$H$6:$H$41</c:f>
              <c:numCache>
                <c:formatCode>General</c:formatCode>
                <c:ptCount val="36"/>
                <c:pt idx="0">
                  <c:v>8.2135523613963035E-2</c:v>
                </c:pt>
                <c:pt idx="1">
                  <c:v>0.16427104722792607</c:v>
                </c:pt>
                <c:pt idx="2">
                  <c:v>0.24640657084188911</c:v>
                </c:pt>
                <c:pt idx="3">
                  <c:v>0.32854209445585214</c:v>
                </c:pt>
                <c:pt idx="4">
                  <c:v>0.41067761806981518</c:v>
                </c:pt>
                <c:pt idx="5">
                  <c:v>0.49281314168377821</c:v>
                </c:pt>
                <c:pt idx="6">
                  <c:v>0.57494866529774125</c:v>
                </c:pt>
                <c:pt idx="7">
                  <c:v>0.65708418891170428</c:v>
                </c:pt>
                <c:pt idx="8">
                  <c:v>0.73921971252566732</c:v>
                </c:pt>
                <c:pt idx="9">
                  <c:v>0.82135523613963035</c:v>
                </c:pt>
                <c:pt idx="10">
                  <c:v>0.90349075975359339</c:v>
                </c:pt>
                <c:pt idx="11">
                  <c:v>0.98562628336755642</c:v>
                </c:pt>
                <c:pt idx="12">
                  <c:v>1.0677618069815196</c:v>
                </c:pt>
                <c:pt idx="13">
                  <c:v>1.1498973305954825</c:v>
                </c:pt>
                <c:pt idx="14">
                  <c:v>1.2320328542094456</c:v>
                </c:pt>
                <c:pt idx="15">
                  <c:v>1.3141683778234086</c:v>
                </c:pt>
                <c:pt idx="16">
                  <c:v>1.3963039014373717</c:v>
                </c:pt>
                <c:pt idx="17">
                  <c:v>1.4784394250513346</c:v>
                </c:pt>
                <c:pt idx="18">
                  <c:v>1.5605749486652978</c:v>
                </c:pt>
                <c:pt idx="19">
                  <c:v>1.6427104722792607</c:v>
                </c:pt>
                <c:pt idx="20">
                  <c:v>1.7248459958932238</c:v>
                </c:pt>
                <c:pt idx="21">
                  <c:v>1.8069815195071868</c:v>
                </c:pt>
                <c:pt idx="22">
                  <c:v>1.8891170431211499</c:v>
                </c:pt>
                <c:pt idx="23">
                  <c:v>1.9712525667351128</c:v>
                </c:pt>
                <c:pt idx="24">
                  <c:v>2.0533880903490758</c:v>
                </c:pt>
                <c:pt idx="25">
                  <c:v>2.1355236139630391</c:v>
                </c:pt>
                <c:pt idx="26">
                  <c:v>2.2176591375770021</c:v>
                </c:pt>
                <c:pt idx="27">
                  <c:v>2.299794661190965</c:v>
                </c:pt>
                <c:pt idx="28">
                  <c:v>2.3819301848049284</c:v>
                </c:pt>
                <c:pt idx="29">
                  <c:v>2.4640657084188913</c:v>
                </c:pt>
                <c:pt idx="30">
                  <c:v>2.5462012320328542</c:v>
                </c:pt>
                <c:pt idx="31">
                  <c:v>2.6283367556468171</c:v>
                </c:pt>
                <c:pt idx="32">
                  <c:v>2.7104722792607805</c:v>
                </c:pt>
                <c:pt idx="33">
                  <c:v>2.7926078028747434</c:v>
                </c:pt>
                <c:pt idx="34">
                  <c:v>2.8747433264887063</c:v>
                </c:pt>
                <c:pt idx="35">
                  <c:v>2.9568788501026693</c:v>
                </c:pt>
              </c:numCache>
            </c:numRef>
          </c:xVal>
          <c:yVal>
            <c:numRef>
              <c:f>monthly!$AK$5:$AK$41</c:f>
              <c:numCache>
                <c:formatCode>_-* #,##0.000000000\ _€_-;\-* #,##0.000000000\ _€_-;_-* "-"??\ _€_-;_-@_-</c:formatCode>
                <c:ptCount val="37"/>
                <c:pt idx="0">
                  <c:v>0.78836162126390286</c:v>
                </c:pt>
                <c:pt idx="1">
                  <c:v>0.7887404465511616</c:v>
                </c:pt>
                <c:pt idx="2">
                  <c:v>0.79725027514807012</c:v>
                </c:pt>
                <c:pt idx="3">
                  <c:v>0.80755802846578373</c:v>
                </c:pt>
                <c:pt idx="4">
                  <c:v>0.81295992362572256</c:v>
                </c:pt>
                <c:pt idx="5">
                  <c:v>0.82929373638286896</c:v>
                </c:pt>
                <c:pt idx="6">
                  <c:v>0.82462568434497008</c:v>
                </c:pt>
                <c:pt idx="7">
                  <c:v>0.81410090870547702</c:v>
                </c:pt>
                <c:pt idx="8">
                  <c:v>0.84144377522376934</c:v>
                </c:pt>
                <c:pt idx="9">
                  <c:v>0.83916609012464716</c:v>
                </c:pt>
                <c:pt idx="10">
                  <c:v>0.85105154771467395</c:v>
                </c:pt>
                <c:pt idx="11">
                  <c:v>0.8496800089454023</c:v>
                </c:pt>
                <c:pt idx="12">
                  <c:v>0.86101240760924624</c:v>
                </c:pt>
                <c:pt idx="13">
                  <c:v>0.84760236511080411</c:v>
                </c:pt>
                <c:pt idx="14">
                  <c:v>0.85611571164300537</c:v>
                </c:pt>
                <c:pt idx="15">
                  <c:v>0.86320491271979671</c:v>
                </c:pt>
                <c:pt idx="16">
                  <c:v>0.86143954177008353</c:v>
                </c:pt>
                <c:pt idx="17">
                  <c:v>0.86604329640239464</c:v>
                </c:pt>
                <c:pt idx="18">
                  <c:v>0.87783076354341494</c:v>
                </c:pt>
                <c:pt idx="19">
                  <c:v>0.88476570301724988</c:v>
                </c:pt>
                <c:pt idx="20">
                  <c:v>0.897674778943792</c:v>
                </c:pt>
                <c:pt idx="21">
                  <c:v>0.90680373047673624</c:v>
                </c:pt>
                <c:pt idx="22">
                  <c:v>0.91947026587160208</c:v>
                </c:pt>
                <c:pt idx="23">
                  <c:v>0.91902132893404853</c:v>
                </c:pt>
                <c:pt idx="24">
                  <c:v>0.92949797690827884</c:v>
                </c:pt>
                <c:pt idx="25">
                  <c:v>0.9352061941666473</c:v>
                </c:pt>
                <c:pt idx="26">
                  <c:v>0.93612686747424889</c:v>
                </c:pt>
                <c:pt idx="27">
                  <c:v>0.94375256519860562</c:v>
                </c:pt>
                <c:pt idx="28">
                  <c:v>0.95176676093248203</c:v>
                </c:pt>
                <c:pt idx="29">
                  <c:v>0.96050758898733535</c:v>
                </c:pt>
                <c:pt idx="30">
                  <c:v>0.96429625343496972</c:v>
                </c:pt>
                <c:pt idx="31">
                  <c:v>0.96961234460272161</c:v>
                </c:pt>
                <c:pt idx="32">
                  <c:v>0.97315266093027775</c:v>
                </c:pt>
                <c:pt idx="33">
                  <c:v>0.97774698808592886</c:v>
                </c:pt>
                <c:pt idx="34">
                  <c:v>0.98361921749122905</c:v>
                </c:pt>
                <c:pt idx="35">
                  <c:v>0.99047485821999448</c:v>
                </c:pt>
                <c:pt idx="36">
                  <c:v>0.99676274773816886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E5C-4621-80D0-F451424F4E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1671944"/>
        <c:axId val="791672336"/>
      </c:scatterChart>
      <c:valAx>
        <c:axId val="7916719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791672336"/>
        <c:crosses val="autoZero"/>
        <c:crossBetween val="midCat"/>
      </c:valAx>
      <c:valAx>
        <c:axId val="791672336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79167194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376236</xdr:colOff>
      <xdr:row>13</xdr:row>
      <xdr:rowOff>133350</xdr:rowOff>
    </xdr:from>
    <xdr:to>
      <xdr:col>34</xdr:col>
      <xdr:colOff>676275</xdr:colOff>
      <xdr:row>35</xdr:row>
      <xdr:rowOff>123825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219075</xdr:colOff>
      <xdr:row>19</xdr:row>
      <xdr:rowOff>57150</xdr:rowOff>
    </xdr:from>
    <xdr:to>
      <xdr:col>3</xdr:col>
      <xdr:colOff>152400</xdr:colOff>
      <xdr:row>21</xdr:row>
      <xdr:rowOff>19050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" y="3800475"/>
          <a:ext cx="2047875" cy="342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276225</xdr:colOff>
      <xdr:row>21</xdr:row>
      <xdr:rowOff>114300</xdr:rowOff>
    </xdr:from>
    <xdr:to>
      <xdr:col>2</xdr:col>
      <xdr:colOff>561975</xdr:colOff>
      <xdr:row>24</xdr:row>
      <xdr:rowOff>38100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5" y="4238625"/>
          <a:ext cx="175260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295275</xdr:colOff>
      <xdr:row>24</xdr:row>
      <xdr:rowOff>9525</xdr:rowOff>
    </xdr:from>
    <xdr:to>
      <xdr:col>5</xdr:col>
      <xdr:colOff>266700</xdr:colOff>
      <xdr:row>26</xdr:row>
      <xdr:rowOff>133350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5275" y="4705350"/>
          <a:ext cx="4010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B2:AL1161"/>
  <sheetViews>
    <sheetView tabSelected="1" topLeftCell="X4" zoomScaleNormal="100" workbookViewId="0">
      <selection activeCell="Y14" sqref="Y14"/>
    </sheetView>
  </sheetViews>
  <sheetFormatPr baseColWidth="10" defaultColWidth="9.140625" defaultRowHeight="15" x14ac:dyDescent="0.25"/>
  <cols>
    <col min="2" max="2" width="12.85546875" bestFit="1" customWidth="1"/>
    <col min="3" max="3" width="9.7109375" bestFit="1" customWidth="1"/>
    <col min="5" max="5" width="19.7109375" bestFit="1" customWidth="1"/>
    <col min="6" max="6" width="10.7109375" bestFit="1" customWidth="1"/>
    <col min="9" max="9" width="10.140625" bestFit="1" customWidth="1"/>
    <col min="12" max="12" width="9.85546875" bestFit="1" customWidth="1"/>
    <col min="15" max="15" width="13.42578125" customWidth="1"/>
    <col min="17" max="17" width="12" style="26" customWidth="1"/>
    <col min="18" max="20" width="14.42578125" customWidth="1"/>
    <col min="21" max="21" width="18" customWidth="1"/>
    <col min="22" max="22" width="16.28515625" style="2" customWidth="1"/>
    <col min="23" max="23" width="21.140625" style="2" bestFit="1" customWidth="1"/>
    <col min="24" max="24" width="18.42578125" style="2" bestFit="1" customWidth="1"/>
    <col min="25" max="25" width="16.85546875" bestFit="1" customWidth="1"/>
    <col min="26" max="26" width="16.85546875" customWidth="1"/>
    <col min="27" max="27" width="12.7109375" bestFit="1" customWidth="1"/>
    <col min="28" max="28" width="21.140625" bestFit="1" customWidth="1"/>
    <col min="29" max="30" width="16.85546875" bestFit="1" customWidth="1"/>
    <col min="34" max="34" width="9.7109375" bestFit="1" customWidth="1"/>
    <col min="35" max="35" width="11.28515625" bestFit="1" customWidth="1"/>
    <col min="36" max="36" width="14.5703125" customWidth="1"/>
    <col min="37" max="37" width="21.28515625" customWidth="1"/>
    <col min="260" max="260" width="12.85546875" bestFit="1" customWidth="1"/>
    <col min="261" max="261" width="9.7109375" bestFit="1" customWidth="1"/>
    <col min="263" max="263" width="19.7109375" bestFit="1" customWidth="1"/>
    <col min="264" max="264" width="10.7109375" bestFit="1" customWidth="1"/>
    <col min="267" max="267" width="10.140625" bestFit="1" customWidth="1"/>
    <col min="275" max="275" width="13" customWidth="1"/>
    <col min="276" max="277" width="14.42578125" customWidth="1"/>
    <col min="278" max="278" width="12.7109375" bestFit="1" customWidth="1"/>
    <col min="279" max="280" width="12" bestFit="1" customWidth="1"/>
    <col min="281" max="281" width="12.28515625" bestFit="1" customWidth="1"/>
    <col min="282" max="282" width="16.85546875" bestFit="1" customWidth="1"/>
    <col min="283" max="283" width="16.85546875" customWidth="1"/>
    <col min="284" max="284" width="12.7109375" bestFit="1" customWidth="1"/>
    <col min="285" max="286" width="12" bestFit="1" customWidth="1"/>
    <col min="287" max="287" width="12.28515625" bestFit="1" customWidth="1"/>
    <col min="288" max="288" width="16.85546875" bestFit="1" customWidth="1"/>
    <col min="292" max="292" width="14.5703125" customWidth="1"/>
    <col min="516" max="516" width="12.85546875" bestFit="1" customWidth="1"/>
    <col min="517" max="517" width="9.7109375" bestFit="1" customWidth="1"/>
    <col min="519" max="519" width="19.7109375" bestFit="1" customWidth="1"/>
    <col min="520" max="520" width="10.7109375" bestFit="1" customWidth="1"/>
    <col min="523" max="523" width="10.140625" bestFit="1" customWidth="1"/>
    <col min="531" max="531" width="13" customWidth="1"/>
    <col min="532" max="533" width="14.42578125" customWidth="1"/>
    <col min="534" max="534" width="12.7109375" bestFit="1" customWidth="1"/>
    <col min="535" max="536" width="12" bestFit="1" customWidth="1"/>
    <col min="537" max="537" width="12.28515625" bestFit="1" customWidth="1"/>
    <col min="538" max="538" width="16.85546875" bestFit="1" customWidth="1"/>
    <col min="539" max="539" width="16.85546875" customWidth="1"/>
    <col min="540" max="540" width="12.7109375" bestFit="1" customWidth="1"/>
    <col min="541" max="542" width="12" bestFit="1" customWidth="1"/>
    <col min="543" max="543" width="12.28515625" bestFit="1" customWidth="1"/>
    <col min="544" max="544" width="16.85546875" bestFit="1" customWidth="1"/>
    <col min="548" max="548" width="14.5703125" customWidth="1"/>
    <col min="772" max="772" width="12.85546875" bestFit="1" customWidth="1"/>
    <col min="773" max="773" width="9.7109375" bestFit="1" customWidth="1"/>
    <col min="775" max="775" width="19.7109375" bestFit="1" customWidth="1"/>
    <col min="776" max="776" width="10.7109375" bestFit="1" customWidth="1"/>
    <col min="779" max="779" width="10.140625" bestFit="1" customWidth="1"/>
    <col min="787" max="787" width="13" customWidth="1"/>
    <col min="788" max="789" width="14.42578125" customWidth="1"/>
    <col min="790" max="790" width="12.7109375" bestFit="1" customWidth="1"/>
    <col min="791" max="792" width="12" bestFit="1" customWidth="1"/>
    <col min="793" max="793" width="12.28515625" bestFit="1" customWidth="1"/>
    <col min="794" max="794" width="16.85546875" bestFit="1" customWidth="1"/>
    <col min="795" max="795" width="16.85546875" customWidth="1"/>
    <col min="796" max="796" width="12.7109375" bestFit="1" customWidth="1"/>
    <col min="797" max="798" width="12" bestFit="1" customWidth="1"/>
    <col min="799" max="799" width="12.28515625" bestFit="1" customWidth="1"/>
    <col min="800" max="800" width="16.85546875" bestFit="1" customWidth="1"/>
    <col min="804" max="804" width="14.5703125" customWidth="1"/>
    <col min="1028" max="1028" width="12.85546875" bestFit="1" customWidth="1"/>
    <col min="1029" max="1029" width="9.7109375" bestFit="1" customWidth="1"/>
    <col min="1031" max="1031" width="19.7109375" bestFit="1" customWidth="1"/>
    <col min="1032" max="1032" width="10.7109375" bestFit="1" customWidth="1"/>
    <col min="1035" max="1035" width="10.140625" bestFit="1" customWidth="1"/>
    <col min="1043" max="1043" width="13" customWidth="1"/>
    <col min="1044" max="1045" width="14.42578125" customWidth="1"/>
    <col min="1046" max="1046" width="12.7109375" bestFit="1" customWidth="1"/>
    <col min="1047" max="1048" width="12" bestFit="1" customWidth="1"/>
    <col min="1049" max="1049" width="12.28515625" bestFit="1" customWidth="1"/>
    <col min="1050" max="1050" width="16.85546875" bestFit="1" customWidth="1"/>
    <col min="1051" max="1051" width="16.85546875" customWidth="1"/>
    <col min="1052" max="1052" width="12.7109375" bestFit="1" customWidth="1"/>
    <col min="1053" max="1054" width="12" bestFit="1" customWidth="1"/>
    <col min="1055" max="1055" width="12.28515625" bestFit="1" customWidth="1"/>
    <col min="1056" max="1056" width="16.85546875" bestFit="1" customWidth="1"/>
    <col min="1060" max="1060" width="14.5703125" customWidth="1"/>
    <col min="1284" max="1284" width="12.85546875" bestFit="1" customWidth="1"/>
    <col min="1285" max="1285" width="9.7109375" bestFit="1" customWidth="1"/>
    <col min="1287" max="1287" width="19.7109375" bestFit="1" customWidth="1"/>
    <col min="1288" max="1288" width="10.7109375" bestFit="1" customWidth="1"/>
    <col min="1291" max="1291" width="10.140625" bestFit="1" customWidth="1"/>
    <col min="1299" max="1299" width="13" customWidth="1"/>
    <col min="1300" max="1301" width="14.42578125" customWidth="1"/>
    <col min="1302" max="1302" width="12.7109375" bestFit="1" customWidth="1"/>
    <col min="1303" max="1304" width="12" bestFit="1" customWidth="1"/>
    <col min="1305" max="1305" width="12.28515625" bestFit="1" customWidth="1"/>
    <col min="1306" max="1306" width="16.85546875" bestFit="1" customWidth="1"/>
    <col min="1307" max="1307" width="16.85546875" customWidth="1"/>
    <col min="1308" max="1308" width="12.7109375" bestFit="1" customWidth="1"/>
    <col min="1309" max="1310" width="12" bestFit="1" customWidth="1"/>
    <col min="1311" max="1311" width="12.28515625" bestFit="1" customWidth="1"/>
    <col min="1312" max="1312" width="16.85546875" bestFit="1" customWidth="1"/>
    <col min="1316" max="1316" width="14.5703125" customWidth="1"/>
    <col min="1540" max="1540" width="12.85546875" bestFit="1" customWidth="1"/>
    <col min="1541" max="1541" width="9.7109375" bestFit="1" customWidth="1"/>
    <col min="1543" max="1543" width="19.7109375" bestFit="1" customWidth="1"/>
    <col min="1544" max="1544" width="10.7109375" bestFit="1" customWidth="1"/>
    <col min="1547" max="1547" width="10.140625" bestFit="1" customWidth="1"/>
    <col min="1555" max="1555" width="13" customWidth="1"/>
    <col min="1556" max="1557" width="14.42578125" customWidth="1"/>
    <col min="1558" max="1558" width="12.7109375" bestFit="1" customWidth="1"/>
    <col min="1559" max="1560" width="12" bestFit="1" customWidth="1"/>
    <col min="1561" max="1561" width="12.28515625" bestFit="1" customWidth="1"/>
    <col min="1562" max="1562" width="16.85546875" bestFit="1" customWidth="1"/>
    <col min="1563" max="1563" width="16.85546875" customWidth="1"/>
    <col min="1564" max="1564" width="12.7109375" bestFit="1" customWidth="1"/>
    <col min="1565" max="1566" width="12" bestFit="1" customWidth="1"/>
    <col min="1567" max="1567" width="12.28515625" bestFit="1" customWidth="1"/>
    <col min="1568" max="1568" width="16.85546875" bestFit="1" customWidth="1"/>
    <col min="1572" max="1572" width="14.5703125" customWidth="1"/>
    <col min="1796" max="1796" width="12.85546875" bestFit="1" customWidth="1"/>
    <col min="1797" max="1797" width="9.7109375" bestFit="1" customWidth="1"/>
    <col min="1799" max="1799" width="19.7109375" bestFit="1" customWidth="1"/>
    <col min="1800" max="1800" width="10.7109375" bestFit="1" customWidth="1"/>
    <col min="1803" max="1803" width="10.140625" bestFit="1" customWidth="1"/>
    <col min="1811" max="1811" width="13" customWidth="1"/>
    <col min="1812" max="1813" width="14.42578125" customWidth="1"/>
    <col min="1814" max="1814" width="12.7109375" bestFit="1" customWidth="1"/>
    <col min="1815" max="1816" width="12" bestFit="1" customWidth="1"/>
    <col min="1817" max="1817" width="12.28515625" bestFit="1" customWidth="1"/>
    <col min="1818" max="1818" width="16.85546875" bestFit="1" customWidth="1"/>
    <col min="1819" max="1819" width="16.85546875" customWidth="1"/>
    <col min="1820" max="1820" width="12.7109375" bestFit="1" customWidth="1"/>
    <col min="1821" max="1822" width="12" bestFit="1" customWidth="1"/>
    <col min="1823" max="1823" width="12.28515625" bestFit="1" customWidth="1"/>
    <col min="1824" max="1824" width="16.85546875" bestFit="1" customWidth="1"/>
    <col min="1828" max="1828" width="14.5703125" customWidth="1"/>
    <col min="2052" max="2052" width="12.85546875" bestFit="1" customWidth="1"/>
    <col min="2053" max="2053" width="9.7109375" bestFit="1" customWidth="1"/>
    <col min="2055" max="2055" width="19.7109375" bestFit="1" customWidth="1"/>
    <col min="2056" max="2056" width="10.7109375" bestFit="1" customWidth="1"/>
    <col min="2059" max="2059" width="10.140625" bestFit="1" customWidth="1"/>
    <col min="2067" max="2067" width="13" customWidth="1"/>
    <col min="2068" max="2069" width="14.42578125" customWidth="1"/>
    <col min="2070" max="2070" width="12.7109375" bestFit="1" customWidth="1"/>
    <col min="2071" max="2072" width="12" bestFit="1" customWidth="1"/>
    <col min="2073" max="2073" width="12.28515625" bestFit="1" customWidth="1"/>
    <col min="2074" max="2074" width="16.85546875" bestFit="1" customWidth="1"/>
    <col min="2075" max="2075" width="16.85546875" customWidth="1"/>
    <col min="2076" max="2076" width="12.7109375" bestFit="1" customWidth="1"/>
    <col min="2077" max="2078" width="12" bestFit="1" customWidth="1"/>
    <col min="2079" max="2079" width="12.28515625" bestFit="1" customWidth="1"/>
    <col min="2080" max="2080" width="16.85546875" bestFit="1" customWidth="1"/>
    <col min="2084" max="2084" width="14.5703125" customWidth="1"/>
    <col min="2308" max="2308" width="12.85546875" bestFit="1" customWidth="1"/>
    <col min="2309" max="2309" width="9.7109375" bestFit="1" customWidth="1"/>
    <col min="2311" max="2311" width="19.7109375" bestFit="1" customWidth="1"/>
    <col min="2312" max="2312" width="10.7109375" bestFit="1" customWidth="1"/>
    <col min="2315" max="2315" width="10.140625" bestFit="1" customWidth="1"/>
    <col min="2323" max="2323" width="13" customWidth="1"/>
    <col min="2324" max="2325" width="14.42578125" customWidth="1"/>
    <col min="2326" max="2326" width="12.7109375" bestFit="1" customWidth="1"/>
    <col min="2327" max="2328" width="12" bestFit="1" customWidth="1"/>
    <col min="2329" max="2329" width="12.28515625" bestFit="1" customWidth="1"/>
    <col min="2330" max="2330" width="16.85546875" bestFit="1" customWidth="1"/>
    <col min="2331" max="2331" width="16.85546875" customWidth="1"/>
    <col min="2332" max="2332" width="12.7109375" bestFit="1" customWidth="1"/>
    <col min="2333" max="2334" width="12" bestFit="1" customWidth="1"/>
    <col min="2335" max="2335" width="12.28515625" bestFit="1" customWidth="1"/>
    <col min="2336" max="2336" width="16.85546875" bestFit="1" customWidth="1"/>
    <col min="2340" max="2340" width="14.5703125" customWidth="1"/>
    <col min="2564" max="2564" width="12.85546875" bestFit="1" customWidth="1"/>
    <col min="2565" max="2565" width="9.7109375" bestFit="1" customWidth="1"/>
    <col min="2567" max="2567" width="19.7109375" bestFit="1" customWidth="1"/>
    <col min="2568" max="2568" width="10.7109375" bestFit="1" customWidth="1"/>
    <col min="2571" max="2571" width="10.140625" bestFit="1" customWidth="1"/>
    <col min="2579" max="2579" width="13" customWidth="1"/>
    <col min="2580" max="2581" width="14.42578125" customWidth="1"/>
    <col min="2582" max="2582" width="12.7109375" bestFit="1" customWidth="1"/>
    <col min="2583" max="2584" width="12" bestFit="1" customWidth="1"/>
    <col min="2585" max="2585" width="12.28515625" bestFit="1" customWidth="1"/>
    <col min="2586" max="2586" width="16.85546875" bestFit="1" customWidth="1"/>
    <col min="2587" max="2587" width="16.85546875" customWidth="1"/>
    <col min="2588" max="2588" width="12.7109375" bestFit="1" customWidth="1"/>
    <col min="2589" max="2590" width="12" bestFit="1" customWidth="1"/>
    <col min="2591" max="2591" width="12.28515625" bestFit="1" customWidth="1"/>
    <col min="2592" max="2592" width="16.85546875" bestFit="1" customWidth="1"/>
    <col min="2596" max="2596" width="14.5703125" customWidth="1"/>
    <col min="2820" max="2820" width="12.85546875" bestFit="1" customWidth="1"/>
    <col min="2821" max="2821" width="9.7109375" bestFit="1" customWidth="1"/>
    <col min="2823" max="2823" width="19.7109375" bestFit="1" customWidth="1"/>
    <col min="2824" max="2824" width="10.7109375" bestFit="1" customWidth="1"/>
    <col min="2827" max="2827" width="10.140625" bestFit="1" customWidth="1"/>
    <col min="2835" max="2835" width="13" customWidth="1"/>
    <col min="2836" max="2837" width="14.42578125" customWidth="1"/>
    <col min="2838" max="2838" width="12.7109375" bestFit="1" customWidth="1"/>
    <col min="2839" max="2840" width="12" bestFit="1" customWidth="1"/>
    <col min="2841" max="2841" width="12.28515625" bestFit="1" customWidth="1"/>
    <col min="2842" max="2842" width="16.85546875" bestFit="1" customWidth="1"/>
    <col min="2843" max="2843" width="16.85546875" customWidth="1"/>
    <col min="2844" max="2844" width="12.7109375" bestFit="1" customWidth="1"/>
    <col min="2845" max="2846" width="12" bestFit="1" customWidth="1"/>
    <col min="2847" max="2847" width="12.28515625" bestFit="1" customWidth="1"/>
    <col min="2848" max="2848" width="16.85546875" bestFit="1" customWidth="1"/>
    <col min="2852" max="2852" width="14.5703125" customWidth="1"/>
    <col min="3076" max="3076" width="12.85546875" bestFit="1" customWidth="1"/>
    <col min="3077" max="3077" width="9.7109375" bestFit="1" customWidth="1"/>
    <col min="3079" max="3079" width="19.7109375" bestFit="1" customWidth="1"/>
    <col min="3080" max="3080" width="10.7109375" bestFit="1" customWidth="1"/>
    <col min="3083" max="3083" width="10.140625" bestFit="1" customWidth="1"/>
    <col min="3091" max="3091" width="13" customWidth="1"/>
    <col min="3092" max="3093" width="14.42578125" customWidth="1"/>
    <col min="3094" max="3094" width="12.7109375" bestFit="1" customWidth="1"/>
    <col min="3095" max="3096" width="12" bestFit="1" customWidth="1"/>
    <col min="3097" max="3097" width="12.28515625" bestFit="1" customWidth="1"/>
    <col min="3098" max="3098" width="16.85546875" bestFit="1" customWidth="1"/>
    <col min="3099" max="3099" width="16.85546875" customWidth="1"/>
    <col min="3100" max="3100" width="12.7109375" bestFit="1" customWidth="1"/>
    <col min="3101" max="3102" width="12" bestFit="1" customWidth="1"/>
    <col min="3103" max="3103" width="12.28515625" bestFit="1" customWidth="1"/>
    <col min="3104" max="3104" width="16.85546875" bestFit="1" customWidth="1"/>
    <col min="3108" max="3108" width="14.5703125" customWidth="1"/>
    <col min="3332" max="3332" width="12.85546875" bestFit="1" customWidth="1"/>
    <col min="3333" max="3333" width="9.7109375" bestFit="1" customWidth="1"/>
    <col min="3335" max="3335" width="19.7109375" bestFit="1" customWidth="1"/>
    <col min="3336" max="3336" width="10.7109375" bestFit="1" customWidth="1"/>
    <col min="3339" max="3339" width="10.140625" bestFit="1" customWidth="1"/>
    <col min="3347" max="3347" width="13" customWidth="1"/>
    <col min="3348" max="3349" width="14.42578125" customWidth="1"/>
    <col min="3350" max="3350" width="12.7109375" bestFit="1" customWidth="1"/>
    <col min="3351" max="3352" width="12" bestFit="1" customWidth="1"/>
    <col min="3353" max="3353" width="12.28515625" bestFit="1" customWidth="1"/>
    <col min="3354" max="3354" width="16.85546875" bestFit="1" customWidth="1"/>
    <col min="3355" max="3355" width="16.85546875" customWidth="1"/>
    <col min="3356" max="3356" width="12.7109375" bestFit="1" customWidth="1"/>
    <col min="3357" max="3358" width="12" bestFit="1" customWidth="1"/>
    <col min="3359" max="3359" width="12.28515625" bestFit="1" customWidth="1"/>
    <col min="3360" max="3360" width="16.85546875" bestFit="1" customWidth="1"/>
    <col min="3364" max="3364" width="14.5703125" customWidth="1"/>
    <col min="3588" max="3588" width="12.85546875" bestFit="1" customWidth="1"/>
    <col min="3589" max="3589" width="9.7109375" bestFit="1" customWidth="1"/>
    <col min="3591" max="3591" width="19.7109375" bestFit="1" customWidth="1"/>
    <col min="3592" max="3592" width="10.7109375" bestFit="1" customWidth="1"/>
    <col min="3595" max="3595" width="10.140625" bestFit="1" customWidth="1"/>
    <col min="3603" max="3603" width="13" customWidth="1"/>
    <col min="3604" max="3605" width="14.42578125" customWidth="1"/>
    <col min="3606" max="3606" width="12.7109375" bestFit="1" customWidth="1"/>
    <col min="3607" max="3608" width="12" bestFit="1" customWidth="1"/>
    <col min="3609" max="3609" width="12.28515625" bestFit="1" customWidth="1"/>
    <col min="3610" max="3610" width="16.85546875" bestFit="1" customWidth="1"/>
    <col min="3611" max="3611" width="16.85546875" customWidth="1"/>
    <col min="3612" max="3612" width="12.7109375" bestFit="1" customWidth="1"/>
    <col min="3613" max="3614" width="12" bestFit="1" customWidth="1"/>
    <col min="3615" max="3615" width="12.28515625" bestFit="1" customWidth="1"/>
    <col min="3616" max="3616" width="16.85546875" bestFit="1" customWidth="1"/>
    <col min="3620" max="3620" width="14.5703125" customWidth="1"/>
    <col min="3844" max="3844" width="12.85546875" bestFit="1" customWidth="1"/>
    <col min="3845" max="3845" width="9.7109375" bestFit="1" customWidth="1"/>
    <col min="3847" max="3847" width="19.7109375" bestFit="1" customWidth="1"/>
    <col min="3848" max="3848" width="10.7109375" bestFit="1" customWidth="1"/>
    <col min="3851" max="3851" width="10.140625" bestFit="1" customWidth="1"/>
    <col min="3859" max="3859" width="13" customWidth="1"/>
    <col min="3860" max="3861" width="14.42578125" customWidth="1"/>
    <col min="3862" max="3862" width="12.7109375" bestFit="1" customWidth="1"/>
    <col min="3863" max="3864" width="12" bestFit="1" customWidth="1"/>
    <col min="3865" max="3865" width="12.28515625" bestFit="1" customWidth="1"/>
    <col min="3866" max="3866" width="16.85546875" bestFit="1" customWidth="1"/>
    <col min="3867" max="3867" width="16.85546875" customWidth="1"/>
    <col min="3868" max="3868" width="12.7109375" bestFit="1" customWidth="1"/>
    <col min="3869" max="3870" width="12" bestFit="1" customWidth="1"/>
    <col min="3871" max="3871" width="12.28515625" bestFit="1" customWidth="1"/>
    <col min="3872" max="3872" width="16.85546875" bestFit="1" customWidth="1"/>
    <col min="3876" max="3876" width="14.5703125" customWidth="1"/>
    <col min="4100" max="4100" width="12.85546875" bestFit="1" customWidth="1"/>
    <col min="4101" max="4101" width="9.7109375" bestFit="1" customWidth="1"/>
    <col min="4103" max="4103" width="19.7109375" bestFit="1" customWidth="1"/>
    <col min="4104" max="4104" width="10.7109375" bestFit="1" customWidth="1"/>
    <col min="4107" max="4107" width="10.140625" bestFit="1" customWidth="1"/>
    <col min="4115" max="4115" width="13" customWidth="1"/>
    <col min="4116" max="4117" width="14.42578125" customWidth="1"/>
    <col min="4118" max="4118" width="12.7109375" bestFit="1" customWidth="1"/>
    <col min="4119" max="4120" width="12" bestFit="1" customWidth="1"/>
    <col min="4121" max="4121" width="12.28515625" bestFit="1" customWidth="1"/>
    <col min="4122" max="4122" width="16.85546875" bestFit="1" customWidth="1"/>
    <col min="4123" max="4123" width="16.85546875" customWidth="1"/>
    <col min="4124" max="4124" width="12.7109375" bestFit="1" customWidth="1"/>
    <col min="4125" max="4126" width="12" bestFit="1" customWidth="1"/>
    <col min="4127" max="4127" width="12.28515625" bestFit="1" customWidth="1"/>
    <col min="4128" max="4128" width="16.85546875" bestFit="1" customWidth="1"/>
    <col min="4132" max="4132" width="14.5703125" customWidth="1"/>
    <col min="4356" max="4356" width="12.85546875" bestFit="1" customWidth="1"/>
    <col min="4357" max="4357" width="9.7109375" bestFit="1" customWidth="1"/>
    <col min="4359" max="4359" width="19.7109375" bestFit="1" customWidth="1"/>
    <col min="4360" max="4360" width="10.7109375" bestFit="1" customWidth="1"/>
    <col min="4363" max="4363" width="10.140625" bestFit="1" customWidth="1"/>
    <col min="4371" max="4371" width="13" customWidth="1"/>
    <col min="4372" max="4373" width="14.42578125" customWidth="1"/>
    <col min="4374" max="4374" width="12.7109375" bestFit="1" customWidth="1"/>
    <col min="4375" max="4376" width="12" bestFit="1" customWidth="1"/>
    <col min="4377" max="4377" width="12.28515625" bestFit="1" customWidth="1"/>
    <col min="4378" max="4378" width="16.85546875" bestFit="1" customWidth="1"/>
    <col min="4379" max="4379" width="16.85546875" customWidth="1"/>
    <col min="4380" max="4380" width="12.7109375" bestFit="1" customWidth="1"/>
    <col min="4381" max="4382" width="12" bestFit="1" customWidth="1"/>
    <col min="4383" max="4383" width="12.28515625" bestFit="1" customWidth="1"/>
    <col min="4384" max="4384" width="16.85546875" bestFit="1" customWidth="1"/>
    <col min="4388" max="4388" width="14.5703125" customWidth="1"/>
    <col min="4612" max="4612" width="12.85546875" bestFit="1" customWidth="1"/>
    <col min="4613" max="4613" width="9.7109375" bestFit="1" customWidth="1"/>
    <col min="4615" max="4615" width="19.7109375" bestFit="1" customWidth="1"/>
    <col min="4616" max="4616" width="10.7109375" bestFit="1" customWidth="1"/>
    <col min="4619" max="4619" width="10.140625" bestFit="1" customWidth="1"/>
    <col min="4627" max="4627" width="13" customWidth="1"/>
    <col min="4628" max="4629" width="14.42578125" customWidth="1"/>
    <col min="4630" max="4630" width="12.7109375" bestFit="1" customWidth="1"/>
    <col min="4631" max="4632" width="12" bestFit="1" customWidth="1"/>
    <col min="4633" max="4633" width="12.28515625" bestFit="1" customWidth="1"/>
    <col min="4634" max="4634" width="16.85546875" bestFit="1" customWidth="1"/>
    <col min="4635" max="4635" width="16.85546875" customWidth="1"/>
    <col min="4636" max="4636" width="12.7109375" bestFit="1" customWidth="1"/>
    <col min="4637" max="4638" width="12" bestFit="1" customWidth="1"/>
    <col min="4639" max="4639" width="12.28515625" bestFit="1" customWidth="1"/>
    <col min="4640" max="4640" width="16.85546875" bestFit="1" customWidth="1"/>
    <col min="4644" max="4644" width="14.5703125" customWidth="1"/>
    <col min="4868" max="4868" width="12.85546875" bestFit="1" customWidth="1"/>
    <col min="4869" max="4869" width="9.7109375" bestFit="1" customWidth="1"/>
    <col min="4871" max="4871" width="19.7109375" bestFit="1" customWidth="1"/>
    <col min="4872" max="4872" width="10.7109375" bestFit="1" customWidth="1"/>
    <col min="4875" max="4875" width="10.140625" bestFit="1" customWidth="1"/>
    <col min="4883" max="4883" width="13" customWidth="1"/>
    <col min="4884" max="4885" width="14.42578125" customWidth="1"/>
    <col min="4886" max="4886" width="12.7109375" bestFit="1" customWidth="1"/>
    <col min="4887" max="4888" width="12" bestFit="1" customWidth="1"/>
    <col min="4889" max="4889" width="12.28515625" bestFit="1" customWidth="1"/>
    <col min="4890" max="4890" width="16.85546875" bestFit="1" customWidth="1"/>
    <col min="4891" max="4891" width="16.85546875" customWidth="1"/>
    <col min="4892" max="4892" width="12.7109375" bestFit="1" customWidth="1"/>
    <col min="4893" max="4894" width="12" bestFit="1" customWidth="1"/>
    <col min="4895" max="4895" width="12.28515625" bestFit="1" customWidth="1"/>
    <col min="4896" max="4896" width="16.85546875" bestFit="1" customWidth="1"/>
    <col min="4900" max="4900" width="14.5703125" customWidth="1"/>
    <col min="5124" max="5124" width="12.85546875" bestFit="1" customWidth="1"/>
    <col min="5125" max="5125" width="9.7109375" bestFit="1" customWidth="1"/>
    <col min="5127" max="5127" width="19.7109375" bestFit="1" customWidth="1"/>
    <col min="5128" max="5128" width="10.7109375" bestFit="1" customWidth="1"/>
    <col min="5131" max="5131" width="10.140625" bestFit="1" customWidth="1"/>
    <col min="5139" max="5139" width="13" customWidth="1"/>
    <col min="5140" max="5141" width="14.42578125" customWidth="1"/>
    <col min="5142" max="5142" width="12.7109375" bestFit="1" customWidth="1"/>
    <col min="5143" max="5144" width="12" bestFit="1" customWidth="1"/>
    <col min="5145" max="5145" width="12.28515625" bestFit="1" customWidth="1"/>
    <col min="5146" max="5146" width="16.85546875" bestFit="1" customWidth="1"/>
    <col min="5147" max="5147" width="16.85546875" customWidth="1"/>
    <col min="5148" max="5148" width="12.7109375" bestFit="1" customWidth="1"/>
    <col min="5149" max="5150" width="12" bestFit="1" customWidth="1"/>
    <col min="5151" max="5151" width="12.28515625" bestFit="1" customWidth="1"/>
    <col min="5152" max="5152" width="16.85546875" bestFit="1" customWidth="1"/>
    <col min="5156" max="5156" width="14.5703125" customWidth="1"/>
    <col min="5380" max="5380" width="12.85546875" bestFit="1" customWidth="1"/>
    <col min="5381" max="5381" width="9.7109375" bestFit="1" customWidth="1"/>
    <col min="5383" max="5383" width="19.7109375" bestFit="1" customWidth="1"/>
    <col min="5384" max="5384" width="10.7109375" bestFit="1" customWidth="1"/>
    <col min="5387" max="5387" width="10.140625" bestFit="1" customWidth="1"/>
    <col min="5395" max="5395" width="13" customWidth="1"/>
    <col min="5396" max="5397" width="14.42578125" customWidth="1"/>
    <col min="5398" max="5398" width="12.7109375" bestFit="1" customWidth="1"/>
    <col min="5399" max="5400" width="12" bestFit="1" customWidth="1"/>
    <col min="5401" max="5401" width="12.28515625" bestFit="1" customWidth="1"/>
    <col min="5402" max="5402" width="16.85546875" bestFit="1" customWidth="1"/>
    <col min="5403" max="5403" width="16.85546875" customWidth="1"/>
    <col min="5404" max="5404" width="12.7109375" bestFit="1" customWidth="1"/>
    <col min="5405" max="5406" width="12" bestFit="1" customWidth="1"/>
    <col min="5407" max="5407" width="12.28515625" bestFit="1" customWidth="1"/>
    <col min="5408" max="5408" width="16.85546875" bestFit="1" customWidth="1"/>
    <col min="5412" max="5412" width="14.5703125" customWidth="1"/>
    <col min="5636" max="5636" width="12.85546875" bestFit="1" customWidth="1"/>
    <col min="5637" max="5637" width="9.7109375" bestFit="1" customWidth="1"/>
    <col min="5639" max="5639" width="19.7109375" bestFit="1" customWidth="1"/>
    <col min="5640" max="5640" width="10.7109375" bestFit="1" customWidth="1"/>
    <col min="5643" max="5643" width="10.140625" bestFit="1" customWidth="1"/>
    <col min="5651" max="5651" width="13" customWidth="1"/>
    <col min="5652" max="5653" width="14.42578125" customWidth="1"/>
    <col min="5654" max="5654" width="12.7109375" bestFit="1" customWidth="1"/>
    <col min="5655" max="5656" width="12" bestFit="1" customWidth="1"/>
    <col min="5657" max="5657" width="12.28515625" bestFit="1" customWidth="1"/>
    <col min="5658" max="5658" width="16.85546875" bestFit="1" customWidth="1"/>
    <col min="5659" max="5659" width="16.85546875" customWidth="1"/>
    <col min="5660" max="5660" width="12.7109375" bestFit="1" customWidth="1"/>
    <col min="5661" max="5662" width="12" bestFit="1" customWidth="1"/>
    <col min="5663" max="5663" width="12.28515625" bestFit="1" customWidth="1"/>
    <col min="5664" max="5664" width="16.85546875" bestFit="1" customWidth="1"/>
    <col min="5668" max="5668" width="14.5703125" customWidth="1"/>
    <col min="5892" max="5892" width="12.85546875" bestFit="1" customWidth="1"/>
    <col min="5893" max="5893" width="9.7109375" bestFit="1" customWidth="1"/>
    <col min="5895" max="5895" width="19.7109375" bestFit="1" customWidth="1"/>
    <col min="5896" max="5896" width="10.7109375" bestFit="1" customWidth="1"/>
    <col min="5899" max="5899" width="10.140625" bestFit="1" customWidth="1"/>
    <col min="5907" max="5907" width="13" customWidth="1"/>
    <col min="5908" max="5909" width="14.42578125" customWidth="1"/>
    <col min="5910" max="5910" width="12.7109375" bestFit="1" customWidth="1"/>
    <col min="5911" max="5912" width="12" bestFit="1" customWidth="1"/>
    <col min="5913" max="5913" width="12.28515625" bestFit="1" customWidth="1"/>
    <col min="5914" max="5914" width="16.85546875" bestFit="1" customWidth="1"/>
    <col min="5915" max="5915" width="16.85546875" customWidth="1"/>
    <col min="5916" max="5916" width="12.7109375" bestFit="1" customWidth="1"/>
    <col min="5917" max="5918" width="12" bestFit="1" customWidth="1"/>
    <col min="5919" max="5919" width="12.28515625" bestFit="1" customWidth="1"/>
    <col min="5920" max="5920" width="16.85546875" bestFit="1" customWidth="1"/>
    <col min="5924" max="5924" width="14.5703125" customWidth="1"/>
    <col min="6148" max="6148" width="12.85546875" bestFit="1" customWidth="1"/>
    <col min="6149" max="6149" width="9.7109375" bestFit="1" customWidth="1"/>
    <col min="6151" max="6151" width="19.7109375" bestFit="1" customWidth="1"/>
    <col min="6152" max="6152" width="10.7109375" bestFit="1" customWidth="1"/>
    <col min="6155" max="6155" width="10.140625" bestFit="1" customWidth="1"/>
    <col min="6163" max="6163" width="13" customWidth="1"/>
    <col min="6164" max="6165" width="14.42578125" customWidth="1"/>
    <col min="6166" max="6166" width="12.7109375" bestFit="1" customWidth="1"/>
    <col min="6167" max="6168" width="12" bestFit="1" customWidth="1"/>
    <col min="6169" max="6169" width="12.28515625" bestFit="1" customWidth="1"/>
    <col min="6170" max="6170" width="16.85546875" bestFit="1" customWidth="1"/>
    <col min="6171" max="6171" width="16.85546875" customWidth="1"/>
    <col min="6172" max="6172" width="12.7109375" bestFit="1" customWidth="1"/>
    <col min="6173" max="6174" width="12" bestFit="1" customWidth="1"/>
    <col min="6175" max="6175" width="12.28515625" bestFit="1" customWidth="1"/>
    <col min="6176" max="6176" width="16.85546875" bestFit="1" customWidth="1"/>
    <col min="6180" max="6180" width="14.5703125" customWidth="1"/>
    <col min="6404" max="6404" width="12.85546875" bestFit="1" customWidth="1"/>
    <col min="6405" max="6405" width="9.7109375" bestFit="1" customWidth="1"/>
    <col min="6407" max="6407" width="19.7109375" bestFit="1" customWidth="1"/>
    <col min="6408" max="6408" width="10.7109375" bestFit="1" customWidth="1"/>
    <col min="6411" max="6411" width="10.140625" bestFit="1" customWidth="1"/>
    <col min="6419" max="6419" width="13" customWidth="1"/>
    <col min="6420" max="6421" width="14.42578125" customWidth="1"/>
    <col min="6422" max="6422" width="12.7109375" bestFit="1" customWidth="1"/>
    <col min="6423" max="6424" width="12" bestFit="1" customWidth="1"/>
    <col min="6425" max="6425" width="12.28515625" bestFit="1" customWidth="1"/>
    <col min="6426" max="6426" width="16.85546875" bestFit="1" customWidth="1"/>
    <col min="6427" max="6427" width="16.85546875" customWidth="1"/>
    <col min="6428" max="6428" width="12.7109375" bestFit="1" customWidth="1"/>
    <col min="6429" max="6430" width="12" bestFit="1" customWidth="1"/>
    <col min="6431" max="6431" width="12.28515625" bestFit="1" customWidth="1"/>
    <col min="6432" max="6432" width="16.85546875" bestFit="1" customWidth="1"/>
    <col min="6436" max="6436" width="14.5703125" customWidth="1"/>
    <col min="6660" max="6660" width="12.85546875" bestFit="1" customWidth="1"/>
    <col min="6661" max="6661" width="9.7109375" bestFit="1" customWidth="1"/>
    <col min="6663" max="6663" width="19.7109375" bestFit="1" customWidth="1"/>
    <col min="6664" max="6664" width="10.7109375" bestFit="1" customWidth="1"/>
    <col min="6667" max="6667" width="10.140625" bestFit="1" customWidth="1"/>
    <col min="6675" max="6675" width="13" customWidth="1"/>
    <col min="6676" max="6677" width="14.42578125" customWidth="1"/>
    <col min="6678" max="6678" width="12.7109375" bestFit="1" customWidth="1"/>
    <col min="6679" max="6680" width="12" bestFit="1" customWidth="1"/>
    <col min="6681" max="6681" width="12.28515625" bestFit="1" customWidth="1"/>
    <col min="6682" max="6682" width="16.85546875" bestFit="1" customWidth="1"/>
    <col min="6683" max="6683" width="16.85546875" customWidth="1"/>
    <col min="6684" max="6684" width="12.7109375" bestFit="1" customWidth="1"/>
    <col min="6685" max="6686" width="12" bestFit="1" customWidth="1"/>
    <col min="6687" max="6687" width="12.28515625" bestFit="1" customWidth="1"/>
    <col min="6688" max="6688" width="16.85546875" bestFit="1" customWidth="1"/>
    <col min="6692" max="6692" width="14.5703125" customWidth="1"/>
    <col min="6916" max="6916" width="12.85546875" bestFit="1" customWidth="1"/>
    <col min="6917" max="6917" width="9.7109375" bestFit="1" customWidth="1"/>
    <col min="6919" max="6919" width="19.7109375" bestFit="1" customWidth="1"/>
    <col min="6920" max="6920" width="10.7109375" bestFit="1" customWidth="1"/>
    <col min="6923" max="6923" width="10.140625" bestFit="1" customWidth="1"/>
    <col min="6931" max="6931" width="13" customWidth="1"/>
    <col min="6932" max="6933" width="14.42578125" customWidth="1"/>
    <col min="6934" max="6934" width="12.7109375" bestFit="1" customWidth="1"/>
    <col min="6935" max="6936" width="12" bestFit="1" customWidth="1"/>
    <col min="6937" max="6937" width="12.28515625" bestFit="1" customWidth="1"/>
    <col min="6938" max="6938" width="16.85546875" bestFit="1" customWidth="1"/>
    <col min="6939" max="6939" width="16.85546875" customWidth="1"/>
    <col min="6940" max="6940" width="12.7109375" bestFit="1" customWidth="1"/>
    <col min="6941" max="6942" width="12" bestFit="1" customWidth="1"/>
    <col min="6943" max="6943" width="12.28515625" bestFit="1" customWidth="1"/>
    <col min="6944" max="6944" width="16.85546875" bestFit="1" customWidth="1"/>
    <col min="6948" max="6948" width="14.5703125" customWidth="1"/>
    <col min="7172" max="7172" width="12.85546875" bestFit="1" customWidth="1"/>
    <col min="7173" max="7173" width="9.7109375" bestFit="1" customWidth="1"/>
    <col min="7175" max="7175" width="19.7109375" bestFit="1" customWidth="1"/>
    <col min="7176" max="7176" width="10.7109375" bestFit="1" customWidth="1"/>
    <col min="7179" max="7179" width="10.140625" bestFit="1" customWidth="1"/>
    <col min="7187" max="7187" width="13" customWidth="1"/>
    <col min="7188" max="7189" width="14.42578125" customWidth="1"/>
    <col min="7190" max="7190" width="12.7109375" bestFit="1" customWidth="1"/>
    <col min="7191" max="7192" width="12" bestFit="1" customWidth="1"/>
    <col min="7193" max="7193" width="12.28515625" bestFit="1" customWidth="1"/>
    <col min="7194" max="7194" width="16.85546875" bestFit="1" customWidth="1"/>
    <col min="7195" max="7195" width="16.85546875" customWidth="1"/>
    <col min="7196" max="7196" width="12.7109375" bestFit="1" customWidth="1"/>
    <col min="7197" max="7198" width="12" bestFit="1" customWidth="1"/>
    <col min="7199" max="7199" width="12.28515625" bestFit="1" customWidth="1"/>
    <col min="7200" max="7200" width="16.85546875" bestFit="1" customWidth="1"/>
    <col min="7204" max="7204" width="14.5703125" customWidth="1"/>
    <col min="7428" max="7428" width="12.85546875" bestFit="1" customWidth="1"/>
    <col min="7429" max="7429" width="9.7109375" bestFit="1" customWidth="1"/>
    <col min="7431" max="7431" width="19.7109375" bestFit="1" customWidth="1"/>
    <col min="7432" max="7432" width="10.7109375" bestFit="1" customWidth="1"/>
    <col min="7435" max="7435" width="10.140625" bestFit="1" customWidth="1"/>
    <col min="7443" max="7443" width="13" customWidth="1"/>
    <col min="7444" max="7445" width="14.42578125" customWidth="1"/>
    <col min="7446" max="7446" width="12.7109375" bestFit="1" customWidth="1"/>
    <col min="7447" max="7448" width="12" bestFit="1" customWidth="1"/>
    <col min="7449" max="7449" width="12.28515625" bestFit="1" customWidth="1"/>
    <col min="7450" max="7450" width="16.85546875" bestFit="1" customWidth="1"/>
    <col min="7451" max="7451" width="16.85546875" customWidth="1"/>
    <col min="7452" max="7452" width="12.7109375" bestFit="1" customWidth="1"/>
    <col min="7453" max="7454" width="12" bestFit="1" customWidth="1"/>
    <col min="7455" max="7455" width="12.28515625" bestFit="1" customWidth="1"/>
    <col min="7456" max="7456" width="16.85546875" bestFit="1" customWidth="1"/>
    <col min="7460" max="7460" width="14.5703125" customWidth="1"/>
    <col min="7684" max="7684" width="12.85546875" bestFit="1" customWidth="1"/>
    <col min="7685" max="7685" width="9.7109375" bestFit="1" customWidth="1"/>
    <col min="7687" max="7687" width="19.7109375" bestFit="1" customWidth="1"/>
    <col min="7688" max="7688" width="10.7109375" bestFit="1" customWidth="1"/>
    <col min="7691" max="7691" width="10.140625" bestFit="1" customWidth="1"/>
    <col min="7699" max="7699" width="13" customWidth="1"/>
    <col min="7700" max="7701" width="14.42578125" customWidth="1"/>
    <col min="7702" max="7702" width="12.7109375" bestFit="1" customWidth="1"/>
    <col min="7703" max="7704" width="12" bestFit="1" customWidth="1"/>
    <col min="7705" max="7705" width="12.28515625" bestFit="1" customWidth="1"/>
    <col min="7706" max="7706" width="16.85546875" bestFit="1" customWidth="1"/>
    <col min="7707" max="7707" width="16.85546875" customWidth="1"/>
    <col min="7708" max="7708" width="12.7109375" bestFit="1" customWidth="1"/>
    <col min="7709" max="7710" width="12" bestFit="1" customWidth="1"/>
    <col min="7711" max="7711" width="12.28515625" bestFit="1" customWidth="1"/>
    <col min="7712" max="7712" width="16.85546875" bestFit="1" customWidth="1"/>
    <col min="7716" max="7716" width="14.5703125" customWidth="1"/>
    <col min="7940" max="7940" width="12.85546875" bestFit="1" customWidth="1"/>
    <col min="7941" max="7941" width="9.7109375" bestFit="1" customWidth="1"/>
    <col min="7943" max="7943" width="19.7109375" bestFit="1" customWidth="1"/>
    <col min="7944" max="7944" width="10.7109375" bestFit="1" customWidth="1"/>
    <col min="7947" max="7947" width="10.140625" bestFit="1" customWidth="1"/>
    <col min="7955" max="7955" width="13" customWidth="1"/>
    <col min="7956" max="7957" width="14.42578125" customWidth="1"/>
    <col min="7958" max="7958" width="12.7109375" bestFit="1" customWidth="1"/>
    <col min="7959" max="7960" width="12" bestFit="1" customWidth="1"/>
    <col min="7961" max="7961" width="12.28515625" bestFit="1" customWidth="1"/>
    <col min="7962" max="7962" width="16.85546875" bestFit="1" customWidth="1"/>
    <col min="7963" max="7963" width="16.85546875" customWidth="1"/>
    <col min="7964" max="7964" width="12.7109375" bestFit="1" customWidth="1"/>
    <col min="7965" max="7966" width="12" bestFit="1" customWidth="1"/>
    <col min="7967" max="7967" width="12.28515625" bestFit="1" customWidth="1"/>
    <col min="7968" max="7968" width="16.85546875" bestFit="1" customWidth="1"/>
    <col min="7972" max="7972" width="14.5703125" customWidth="1"/>
    <col min="8196" max="8196" width="12.85546875" bestFit="1" customWidth="1"/>
    <col min="8197" max="8197" width="9.7109375" bestFit="1" customWidth="1"/>
    <col min="8199" max="8199" width="19.7109375" bestFit="1" customWidth="1"/>
    <col min="8200" max="8200" width="10.7109375" bestFit="1" customWidth="1"/>
    <col min="8203" max="8203" width="10.140625" bestFit="1" customWidth="1"/>
    <col min="8211" max="8211" width="13" customWidth="1"/>
    <col min="8212" max="8213" width="14.42578125" customWidth="1"/>
    <col min="8214" max="8214" width="12.7109375" bestFit="1" customWidth="1"/>
    <col min="8215" max="8216" width="12" bestFit="1" customWidth="1"/>
    <col min="8217" max="8217" width="12.28515625" bestFit="1" customWidth="1"/>
    <col min="8218" max="8218" width="16.85546875" bestFit="1" customWidth="1"/>
    <col min="8219" max="8219" width="16.85546875" customWidth="1"/>
    <col min="8220" max="8220" width="12.7109375" bestFit="1" customWidth="1"/>
    <col min="8221" max="8222" width="12" bestFit="1" customWidth="1"/>
    <col min="8223" max="8223" width="12.28515625" bestFit="1" customWidth="1"/>
    <col min="8224" max="8224" width="16.85546875" bestFit="1" customWidth="1"/>
    <col min="8228" max="8228" width="14.5703125" customWidth="1"/>
    <col min="8452" max="8452" width="12.85546875" bestFit="1" customWidth="1"/>
    <col min="8453" max="8453" width="9.7109375" bestFit="1" customWidth="1"/>
    <col min="8455" max="8455" width="19.7109375" bestFit="1" customWidth="1"/>
    <col min="8456" max="8456" width="10.7109375" bestFit="1" customWidth="1"/>
    <col min="8459" max="8459" width="10.140625" bestFit="1" customWidth="1"/>
    <col min="8467" max="8467" width="13" customWidth="1"/>
    <col min="8468" max="8469" width="14.42578125" customWidth="1"/>
    <col min="8470" max="8470" width="12.7109375" bestFit="1" customWidth="1"/>
    <col min="8471" max="8472" width="12" bestFit="1" customWidth="1"/>
    <col min="8473" max="8473" width="12.28515625" bestFit="1" customWidth="1"/>
    <col min="8474" max="8474" width="16.85546875" bestFit="1" customWidth="1"/>
    <col min="8475" max="8475" width="16.85546875" customWidth="1"/>
    <col min="8476" max="8476" width="12.7109375" bestFit="1" customWidth="1"/>
    <col min="8477" max="8478" width="12" bestFit="1" customWidth="1"/>
    <col min="8479" max="8479" width="12.28515625" bestFit="1" customWidth="1"/>
    <col min="8480" max="8480" width="16.85546875" bestFit="1" customWidth="1"/>
    <col min="8484" max="8484" width="14.5703125" customWidth="1"/>
    <col min="8708" max="8708" width="12.85546875" bestFit="1" customWidth="1"/>
    <col min="8709" max="8709" width="9.7109375" bestFit="1" customWidth="1"/>
    <col min="8711" max="8711" width="19.7109375" bestFit="1" customWidth="1"/>
    <col min="8712" max="8712" width="10.7109375" bestFit="1" customWidth="1"/>
    <col min="8715" max="8715" width="10.140625" bestFit="1" customWidth="1"/>
    <col min="8723" max="8723" width="13" customWidth="1"/>
    <col min="8724" max="8725" width="14.42578125" customWidth="1"/>
    <col min="8726" max="8726" width="12.7109375" bestFit="1" customWidth="1"/>
    <col min="8727" max="8728" width="12" bestFit="1" customWidth="1"/>
    <col min="8729" max="8729" width="12.28515625" bestFit="1" customWidth="1"/>
    <col min="8730" max="8730" width="16.85546875" bestFit="1" customWidth="1"/>
    <col min="8731" max="8731" width="16.85546875" customWidth="1"/>
    <col min="8732" max="8732" width="12.7109375" bestFit="1" customWidth="1"/>
    <col min="8733" max="8734" width="12" bestFit="1" customWidth="1"/>
    <col min="8735" max="8735" width="12.28515625" bestFit="1" customWidth="1"/>
    <col min="8736" max="8736" width="16.85546875" bestFit="1" customWidth="1"/>
    <col min="8740" max="8740" width="14.5703125" customWidth="1"/>
    <col min="8964" max="8964" width="12.85546875" bestFit="1" customWidth="1"/>
    <col min="8965" max="8965" width="9.7109375" bestFit="1" customWidth="1"/>
    <col min="8967" max="8967" width="19.7109375" bestFit="1" customWidth="1"/>
    <col min="8968" max="8968" width="10.7109375" bestFit="1" customWidth="1"/>
    <col min="8971" max="8971" width="10.140625" bestFit="1" customWidth="1"/>
    <col min="8979" max="8979" width="13" customWidth="1"/>
    <col min="8980" max="8981" width="14.42578125" customWidth="1"/>
    <col min="8982" max="8982" width="12.7109375" bestFit="1" customWidth="1"/>
    <col min="8983" max="8984" width="12" bestFit="1" customWidth="1"/>
    <col min="8985" max="8985" width="12.28515625" bestFit="1" customWidth="1"/>
    <col min="8986" max="8986" width="16.85546875" bestFit="1" customWidth="1"/>
    <col min="8987" max="8987" width="16.85546875" customWidth="1"/>
    <col min="8988" max="8988" width="12.7109375" bestFit="1" customWidth="1"/>
    <col min="8989" max="8990" width="12" bestFit="1" customWidth="1"/>
    <col min="8991" max="8991" width="12.28515625" bestFit="1" customWidth="1"/>
    <col min="8992" max="8992" width="16.85546875" bestFit="1" customWidth="1"/>
    <col min="8996" max="8996" width="14.5703125" customWidth="1"/>
    <col min="9220" max="9220" width="12.85546875" bestFit="1" customWidth="1"/>
    <col min="9221" max="9221" width="9.7109375" bestFit="1" customWidth="1"/>
    <col min="9223" max="9223" width="19.7109375" bestFit="1" customWidth="1"/>
    <col min="9224" max="9224" width="10.7109375" bestFit="1" customWidth="1"/>
    <col min="9227" max="9227" width="10.140625" bestFit="1" customWidth="1"/>
    <col min="9235" max="9235" width="13" customWidth="1"/>
    <col min="9236" max="9237" width="14.42578125" customWidth="1"/>
    <col min="9238" max="9238" width="12.7109375" bestFit="1" customWidth="1"/>
    <col min="9239" max="9240" width="12" bestFit="1" customWidth="1"/>
    <col min="9241" max="9241" width="12.28515625" bestFit="1" customWidth="1"/>
    <col min="9242" max="9242" width="16.85546875" bestFit="1" customWidth="1"/>
    <col min="9243" max="9243" width="16.85546875" customWidth="1"/>
    <col min="9244" max="9244" width="12.7109375" bestFit="1" customWidth="1"/>
    <col min="9245" max="9246" width="12" bestFit="1" customWidth="1"/>
    <col min="9247" max="9247" width="12.28515625" bestFit="1" customWidth="1"/>
    <col min="9248" max="9248" width="16.85546875" bestFit="1" customWidth="1"/>
    <col min="9252" max="9252" width="14.5703125" customWidth="1"/>
    <col min="9476" max="9476" width="12.85546875" bestFit="1" customWidth="1"/>
    <col min="9477" max="9477" width="9.7109375" bestFit="1" customWidth="1"/>
    <col min="9479" max="9479" width="19.7109375" bestFit="1" customWidth="1"/>
    <col min="9480" max="9480" width="10.7109375" bestFit="1" customWidth="1"/>
    <col min="9483" max="9483" width="10.140625" bestFit="1" customWidth="1"/>
    <col min="9491" max="9491" width="13" customWidth="1"/>
    <col min="9492" max="9493" width="14.42578125" customWidth="1"/>
    <col min="9494" max="9494" width="12.7109375" bestFit="1" customWidth="1"/>
    <col min="9495" max="9496" width="12" bestFit="1" customWidth="1"/>
    <col min="9497" max="9497" width="12.28515625" bestFit="1" customWidth="1"/>
    <col min="9498" max="9498" width="16.85546875" bestFit="1" customWidth="1"/>
    <col min="9499" max="9499" width="16.85546875" customWidth="1"/>
    <col min="9500" max="9500" width="12.7109375" bestFit="1" customWidth="1"/>
    <col min="9501" max="9502" width="12" bestFit="1" customWidth="1"/>
    <col min="9503" max="9503" width="12.28515625" bestFit="1" customWidth="1"/>
    <col min="9504" max="9504" width="16.85546875" bestFit="1" customWidth="1"/>
    <col min="9508" max="9508" width="14.5703125" customWidth="1"/>
    <col min="9732" max="9732" width="12.85546875" bestFit="1" customWidth="1"/>
    <col min="9733" max="9733" width="9.7109375" bestFit="1" customWidth="1"/>
    <col min="9735" max="9735" width="19.7109375" bestFit="1" customWidth="1"/>
    <col min="9736" max="9736" width="10.7109375" bestFit="1" customWidth="1"/>
    <col min="9739" max="9739" width="10.140625" bestFit="1" customWidth="1"/>
    <col min="9747" max="9747" width="13" customWidth="1"/>
    <col min="9748" max="9749" width="14.42578125" customWidth="1"/>
    <col min="9750" max="9750" width="12.7109375" bestFit="1" customWidth="1"/>
    <col min="9751" max="9752" width="12" bestFit="1" customWidth="1"/>
    <col min="9753" max="9753" width="12.28515625" bestFit="1" customWidth="1"/>
    <col min="9754" max="9754" width="16.85546875" bestFit="1" customWidth="1"/>
    <col min="9755" max="9755" width="16.85546875" customWidth="1"/>
    <col min="9756" max="9756" width="12.7109375" bestFit="1" customWidth="1"/>
    <col min="9757" max="9758" width="12" bestFit="1" customWidth="1"/>
    <col min="9759" max="9759" width="12.28515625" bestFit="1" customWidth="1"/>
    <col min="9760" max="9760" width="16.85546875" bestFit="1" customWidth="1"/>
    <col min="9764" max="9764" width="14.5703125" customWidth="1"/>
    <col min="9988" max="9988" width="12.85546875" bestFit="1" customWidth="1"/>
    <col min="9989" max="9989" width="9.7109375" bestFit="1" customWidth="1"/>
    <col min="9991" max="9991" width="19.7109375" bestFit="1" customWidth="1"/>
    <col min="9992" max="9992" width="10.7109375" bestFit="1" customWidth="1"/>
    <col min="9995" max="9995" width="10.140625" bestFit="1" customWidth="1"/>
    <col min="10003" max="10003" width="13" customWidth="1"/>
    <col min="10004" max="10005" width="14.42578125" customWidth="1"/>
    <col min="10006" max="10006" width="12.7109375" bestFit="1" customWidth="1"/>
    <col min="10007" max="10008" width="12" bestFit="1" customWidth="1"/>
    <col min="10009" max="10009" width="12.28515625" bestFit="1" customWidth="1"/>
    <col min="10010" max="10010" width="16.85546875" bestFit="1" customWidth="1"/>
    <col min="10011" max="10011" width="16.85546875" customWidth="1"/>
    <col min="10012" max="10012" width="12.7109375" bestFit="1" customWidth="1"/>
    <col min="10013" max="10014" width="12" bestFit="1" customWidth="1"/>
    <col min="10015" max="10015" width="12.28515625" bestFit="1" customWidth="1"/>
    <col min="10016" max="10016" width="16.85546875" bestFit="1" customWidth="1"/>
    <col min="10020" max="10020" width="14.5703125" customWidth="1"/>
    <col min="10244" max="10244" width="12.85546875" bestFit="1" customWidth="1"/>
    <col min="10245" max="10245" width="9.7109375" bestFit="1" customWidth="1"/>
    <col min="10247" max="10247" width="19.7109375" bestFit="1" customWidth="1"/>
    <col min="10248" max="10248" width="10.7109375" bestFit="1" customWidth="1"/>
    <col min="10251" max="10251" width="10.140625" bestFit="1" customWidth="1"/>
    <col min="10259" max="10259" width="13" customWidth="1"/>
    <col min="10260" max="10261" width="14.42578125" customWidth="1"/>
    <col min="10262" max="10262" width="12.7109375" bestFit="1" customWidth="1"/>
    <col min="10263" max="10264" width="12" bestFit="1" customWidth="1"/>
    <col min="10265" max="10265" width="12.28515625" bestFit="1" customWidth="1"/>
    <col min="10266" max="10266" width="16.85546875" bestFit="1" customWidth="1"/>
    <col min="10267" max="10267" width="16.85546875" customWidth="1"/>
    <col min="10268" max="10268" width="12.7109375" bestFit="1" customWidth="1"/>
    <col min="10269" max="10270" width="12" bestFit="1" customWidth="1"/>
    <col min="10271" max="10271" width="12.28515625" bestFit="1" customWidth="1"/>
    <col min="10272" max="10272" width="16.85546875" bestFit="1" customWidth="1"/>
    <col min="10276" max="10276" width="14.5703125" customWidth="1"/>
    <col min="10500" max="10500" width="12.85546875" bestFit="1" customWidth="1"/>
    <col min="10501" max="10501" width="9.7109375" bestFit="1" customWidth="1"/>
    <col min="10503" max="10503" width="19.7109375" bestFit="1" customWidth="1"/>
    <col min="10504" max="10504" width="10.7109375" bestFit="1" customWidth="1"/>
    <col min="10507" max="10507" width="10.140625" bestFit="1" customWidth="1"/>
    <col min="10515" max="10515" width="13" customWidth="1"/>
    <col min="10516" max="10517" width="14.42578125" customWidth="1"/>
    <col min="10518" max="10518" width="12.7109375" bestFit="1" customWidth="1"/>
    <col min="10519" max="10520" width="12" bestFit="1" customWidth="1"/>
    <col min="10521" max="10521" width="12.28515625" bestFit="1" customWidth="1"/>
    <col min="10522" max="10522" width="16.85546875" bestFit="1" customWidth="1"/>
    <col min="10523" max="10523" width="16.85546875" customWidth="1"/>
    <col min="10524" max="10524" width="12.7109375" bestFit="1" customWidth="1"/>
    <col min="10525" max="10526" width="12" bestFit="1" customWidth="1"/>
    <col min="10527" max="10527" width="12.28515625" bestFit="1" customWidth="1"/>
    <col min="10528" max="10528" width="16.85546875" bestFit="1" customWidth="1"/>
    <col min="10532" max="10532" width="14.5703125" customWidth="1"/>
    <col min="10756" max="10756" width="12.85546875" bestFit="1" customWidth="1"/>
    <col min="10757" max="10757" width="9.7109375" bestFit="1" customWidth="1"/>
    <col min="10759" max="10759" width="19.7109375" bestFit="1" customWidth="1"/>
    <col min="10760" max="10760" width="10.7109375" bestFit="1" customWidth="1"/>
    <col min="10763" max="10763" width="10.140625" bestFit="1" customWidth="1"/>
    <col min="10771" max="10771" width="13" customWidth="1"/>
    <col min="10772" max="10773" width="14.42578125" customWidth="1"/>
    <col min="10774" max="10774" width="12.7109375" bestFit="1" customWidth="1"/>
    <col min="10775" max="10776" width="12" bestFit="1" customWidth="1"/>
    <col min="10777" max="10777" width="12.28515625" bestFit="1" customWidth="1"/>
    <col min="10778" max="10778" width="16.85546875" bestFit="1" customWidth="1"/>
    <col min="10779" max="10779" width="16.85546875" customWidth="1"/>
    <col min="10780" max="10780" width="12.7109375" bestFit="1" customWidth="1"/>
    <col min="10781" max="10782" width="12" bestFit="1" customWidth="1"/>
    <col min="10783" max="10783" width="12.28515625" bestFit="1" customWidth="1"/>
    <col min="10784" max="10784" width="16.85546875" bestFit="1" customWidth="1"/>
    <col min="10788" max="10788" width="14.5703125" customWidth="1"/>
    <col min="11012" max="11012" width="12.85546875" bestFit="1" customWidth="1"/>
    <col min="11013" max="11013" width="9.7109375" bestFit="1" customWidth="1"/>
    <col min="11015" max="11015" width="19.7109375" bestFit="1" customWidth="1"/>
    <col min="11016" max="11016" width="10.7109375" bestFit="1" customWidth="1"/>
    <col min="11019" max="11019" width="10.140625" bestFit="1" customWidth="1"/>
    <col min="11027" max="11027" width="13" customWidth="1"/>
    <col min="11028" max="11029" width="14.42578125" customWidth="1"/>
    <col min="11030" max="11030" width="12.7109375" bestFit="1" customWidth="1"/>
    <col min="11031" max="11032" width="12" bestFit="1" customWidth="1"/>
    <col min="11033" max="11033" width="12.28515625" bestFit="1" customWidth="1"/>
    <col min="11034" max="11034" width="16.85546875" bestFit="1" customWidth="1"/>
    <col min="11035" max="11035" width="16.85546875" customWidth="1"/>
    <col min="11036" max="11036" width="12.7109375" bestFit="1" customWidth="1"/>
    <col min="11037" max="11038" width="12" bestFit="1" customWidth="1"/>
    <col min="11039" max="11039" width="12.28515625" bestFit="1" customWidth="1"/>
    <col min="11040" max="11040" width="16.85546875" bestFit="1" customWidth="1"/>
    <col min="11044" max="11044" width="14.5703125" customWidth="1"/>
    <col min="11268" max="11268" width="12.85546875" bestFit="1" customWidth="1"/>
    <col min="11269" max="11269" width="9.7109375" bestFit="1" customWidth="1"/>
    <col min="11271" max="11271" width="19.7109375" bestFit="1" customWidth="1"/>
    <col min="11272" max="11272" width="10.7109375" bestFit="1" customWidth="1"/>
    <col min="11275" max="11275" width="10.140625" bestFit="1" customWidth="1"/>
    <col min="11283" max="11283" width="13" customWidth="1"/>
    <col min="11284" max="11285" width="14.42578125" customWidth="1"/>
    <col min="11286" max="11286" width="12.7109375" bestFit="1" customWidth="1"/>
    <col min="11287" max="11288" width="12" bestFit="1" customWidth="1"/>
    <col min="11289" max="11289" width="12.28515625" bestFit="1" customWidth="1"/>
    <col min="11290" max="11290" width="16.85546875" bestFit="1" customWidth="1"/>
    <col min="11291" max="11291" width="16.85546875" customWidth="1"/>
    <col min="11292" max="11292" width="12.7109375" bestFit="1" customWidth="1"/>
    <col min="11293" max="11294" width="12" bestFit="1" customWidth="1"/>
    <col min="11295" max="11295" width="12.28515625" bestFit="1" customWidth="1"/>
    <col min="11296" max="11296" width="16.85546875" bestFit="1" customWidth="1"/>
    <col min="11300" max="11300" width="14.5703125" customWidth="1"/>
    <col min="11524" max="11524" width="12.85546875" bestFit="1" customWidth="1"/>
    <col min="11525" max="11525" width="9.7109375" bestFit="1" customWidth="1"/>
    <col min="11527" max="11527" width="19.7109375" bestFit="1" customWidth="1"/>
    <col min="11528" max="11528" width="10.7109375" bestFit="1" customWidth="1"/>
    <col min="11531" max="11531" width="10.140625" bestFit="1" customWidth="1"/>
    <col min="11539" max="11539" width="13" customWidth="1"/>
    <col min="11540" max="11541" width="14.42578125" customWidth="1"/>
    <col min="11542" max="11542" width="12.7109375" bestFit="1" customWidth="1"/>
    <col min="11543" max="11544" width="12" bestFit="1" customWidth="1"/>
    <col min="11545" max="11545" width="12.28515625" bestFit="1" customWidth="1"/>
    <col min="11546" max="11546" width="16.85546875" bestFit="1" customWidth="1"/>
    <col min="11547" max="11547" width="16.85546875" customWidth="1"/>
    <col min="11548" max="11548" width="12.7109375" bestFit="1" customWidth="1"/>
    <col min="11549" max="11550" width="12" bestFit="1" customWidth="1"/>
    <col min="11551" max="11551" width="12.28515625" bestFit="1" customWidth="1"/>
    <col min="11552" max="11552" width="16.85546875" bestFit="1" customWidth="1"/>
    <col min="11556" max="11556" width="14.5703125" customWidth="1"/>
    <col min="11780" max="11780" width="12.85546875" bestFit="1" customWidth="1"/>
    <col min="11781" max="11781" width="9.7109375" bestFit="1" customWidth="1"/>
    <col min="11783" max="11783" width="19.7109375" bestFit="1" customWidth="1"/>
    <col min="11784" max="11784" width="10.7109375" bestFit="1" customWidth="1"/>
    <col min="11787" max="11787" width="10.140625" bestFit="1" customWidth="1"/>
    <col min="11795" max="11795" width="13" customWidth="1"/>
    <col min="11796" max="11797" width="14.42578125" customWidth="1"/>
    <col min="11798" max="11798" width="12.7109375" bestFit="1" customWidth="1"/>
    <col min="11799" max="11800" width="12" bestFit="1" customWidth="1"/>
    <col min="11801" max="11801" width="12.28515625" bestFit="1" customWidth="1"/>
    <col min="11802" max="11802" width="16.85546875" bestFit="1" customWidth="1"/>
    <col min="11803" max="11803" width="16.85546875" customWidth="1"/>
    <col min="11804" max="11804" width="12.7109375" bestFit="1" customWidth="1"/>
    <col min="11805" max="11806" width="12" bestFit="1" customWidth="1"/>
    <col min="11807" max="11807" width="12.28515625" bestFit="1" customWidth="1"/>
    <col min="11808" max="11808" width="16.85546875" bestFit="1" customWidth="1"/>
    <col min="11812" max="11812" width="14.5703125" customWidth="1"/>
    <col min="12036" max="12036" width="12.85546875" bestFit="1" customWidth="1"/>
    <col min="12037" max="12037" width="9.7109375" bestFit="1" customWidth="1"/>
    <col min="12039" max="12039" width="19.7109375" bestFit="1" customWidth="1"/>
    <col min="12040" max="12040" width="10.7109375" bestFit="1" customWidth="1"/>
    <col min="12043" max="12043" width="10.140625" bestFit="1" customWidth="1"/>
    <col min="12051" max="12051" width="13" customWidth="1"/>
    <col min="12052" max="12053" width="14.42578125" customWidth="1"/>
    <col min="12054" max="12054" width="12.7109375" bestFit="1" customWidth="1"/>
    <col min="12055" max="12056" width="12" bestFit="1" customWidth="1"/>
    <col min="12057" max="12057" width="12.28515625" bestFit="1" customWidth="1"/>
    <col min="12058" max="12058" width="16.85546875" bestFit="1" customWidth="1"/>
    <col min="12059" max="12059" width="16.85546875" customWidth="1"/>
    <col min="12060" max="12060" width="12.7109375" bestFit="1" customWidth="1"/>
    <col min="12061" max="12062" width="12" bestFit="1" customWidth="1"/>
    <col min="12063" max="12063" width="12.28515625" bestFit="1" customWidth="1"/>
    <col min="12064" max="12064" width="16.85546875" bestFit="1" customWidth="1"/>
    <col min="12068" max="12068" width="14.5703125" customWidth="1"/>
    <col min="12292" max="12292" width="12.85546875" bestFit="1" customWidth="1"/>
    <col min="12293" max="12293" width="9.7109375" bestFit="1" customWidth="1"/>
    <col min="12295" max="12295" width="19.7109375" bestFit="1" customWidth="1"/>
    <col min="12296" max="12296" width="10.7109375" bestFit="1" customWidth="1"/>
    <col min="12299" max="12299" width="10.140625" bestFit="1" customWidth="1"/>
    <col min="12307" max="12307" width="13" customWidth="1"/>
    <col min="12308" max="12309" width="14.42578125" customWidth="1"/>
    <col min="12310" max="12310" width="12.7109375" bestFit="1" customWidth="1"/>
    <col min="12311" max="12312" width="12" bestFit="1" customWidth="1"/>
    <col min="12313" max="12313" width="12.28515625" bestFit="1" customWidth="1"/>
    <col min="12314" max="12314" width="16.85546875" bestFit="1" customWidth="1"/>
    <col min="12315" max="12315" width="16.85546875" customWidth="1"/>
    <col min="12316" max="12316" width="12.7109375" bestFit="1" customWidth="1"/>
    <col min="12317" max="12318" width="12" bestFit="1" customWidth="1"/>
    <col min="12319" max="12319" width="12.28515625" bestFit="1" customWidth="1"/>
    <col min="12320" max="12320" width="16.85546875" bestFit="1" customWidth="1"/>
    <col min="12324" max="12324" width="14.5703125" customWidth="1"/>
    <col min="12548" max="12548" width="12.85546875" bestFit="1" customWidth="1"/>
    <col min="12549" max="12549" width="9.7109375" bestFit="1" customWidth="1"/>
    <col min="12551" max="12551" width="19.7109375" bestFit="1" customWidth="1"/>
    <col min="12552" max="12552" width="10.7109375" bestFit="1" customWidth="1"/>
    <col min="12555" max="12555" width="10.140625" bestFit="1" customWidth="1"/>
    <col min="12563" max="12563" width="13" customWidth="1"/>
    <col min="12564" max="12565" width="14.42578125" customWidth="1"/>
    <col min="12566" max="12566" width="12.7109375" bestFit="1" customWidth="1"/>
    <col min="12567" max="12568" width="12" bestFit="1" customWidth="1"/>
    <col min="12569" max="12569" width="12.28515625" bestFit="1" customWidth="1"/>
    <col min="12570" max="12570" width="16.85546875" bestFit="1" customWidth="1"/>
    <col min="12571" max="12571" width="16.85546875" customWidth="1"/>
    <col min="12572" max="12572" width="12.7109375" bestFit="1" customWidth="1"/>
    <col min="12573" max="12574" width="12" bestFit="1" customWidth="1"/>
    <col min="12575" max="12575" width="12.28515625" bestFit="1" customWidth="1"/>
    <col min="12576" max="12576" width="16.85546875" bestFit="1" customWidth="1"/>
    <col min="12580" max="12580" width="14.5703125" customWidth="1"/>
    <col min="12804" max="12804" width="12.85546875" bestFit="1" customWidth="1"/>
    <col min="12805" max="12805" width="9.7109375" bestFit="1" customWidth="1"/>
    <col min="12807" max="12807" width="19.7109375" bestFit="1" customWidth="1"/>
    <col min="12808" max="12808" width="10.7109375" bestFit="1" customWidth="1"/>
    <col min="12811" max="12811" width="10.140625" bestFit="1" customWidth="1"/>
    <col min="12819" max="12819" width="13" customWidth="1"/>
    <col min="12820" max="12821" width="14.42578125" customWidth="1"/>
    <col min="12822" max="12822" width="12.7109375" bestFit="1" customWidth="1"/>
    <col min="12823" max="12824" width="12" bestFit="1" customWidth="1"/>
    <col min="12825" max="12825" width="12.28515625" bestFit="1" customWidth="1"/>
    <col min="12826" max="12826" width="16.85546875" bestFit="1" customWidth="1"/>
    <col min="12827" max="12827" width="16.85546875" customWidth="1"/>
    <col min="12828" max="12828" width="12.7109375" bestFit="1" customWidth="1"/>
    <col min="12829" max="12830" width="12" bestFit="1" customWidth="1"/>
    <col min="12831" max="12831" width="12.28515625" bestFit="1" customWidth="1"/>
    <col min="12832" max="12832" width="16.85546875" bestFit="1" customWidth="1"/>
    <col min="12836" max="12836" width="14.5703125" customWidth="1"/>
    <col min="13060" max="13060" width="12.85546875" bestFit="1" customWidth="1"/>
    <col min="13061" max="13061" width="9.7109375" bestFit="1" customWidth="1"/>
    <col min="13063" max="13063" width="19.7109375" bestFit="1" customWidth="1"/>
    <col min="13064" max="13064" width="10.7109375" bestFit="1" customWidth="1"/>
    <col min="13067" max="13067" width="10.140625" bestFit="1" customWidth="1"/>
    <col min="13075" max="13075" width="13" customWidth="1"/>
    <col min="13076" max="13077" width="14.42578125" customWidth="1"/>
    <col min="13078" max="13078" width="12.7109375" bestFit="1" customWidth="1"/>
    <col min="13079" max="13080" width="12" bestFit="1" customWidth="1"/>
    <col min="13081" max="13081" width="12.28515625" bestFit="1" customWidth="1"/>
    <col min="13082" max="13082" width="16.85546875" bestFit="1" customWidth="1"/>
    <col min="13083" max="13083" width="16.85546875" customWidth="1"/>
    <col min="13084" max="13084" width="12.7109375" bestFit="1" customWidth="1"/>
    <col min="13085" max="13086" width="12" bestFit="1" customWidth="1"/>
    <col min="13087" max="13087" width="12.28515625" bestFit="1" customWidth="1"/>
    <col min="13088" max="13088" width="16.85546875" bestFit="1" customWidth="1"/>
    <col min="13092" max="13092" width="14.5703125" customWidth="1"/>
    <col min="13316" max="13316" width="12.85546875" bestFit="1" customWidth="1"/>
    <col min="13317" max="13317" width="9.7109375" bestFit="1" customWidth="1"/>
    <col min="13319" max="13319" width="19.7109375" bestFit="1" customWidth="1"/>
    <col min="13320" max="13320" width="10.7109375" bestFit="1" customWidth="1"/>
    <col min="13323" max="13323" width="10.140625" bestFit="1" customWidth="1"/>
    <col min="13331" max="13331" width="13" customWidth="1"/>
    <col min="13332" max="13333" width="14.42578125" customWidth="1"/>
    <col min="13334" max="13334" width="12.7109375" bestFit="1" customWidth="1"/>
    <col min="13335" max="13336" width="12" bestFit="1" customWidth="1"/>
    <col min="13337" max="13337" width="12.28515625" bestFit="1" customWidth="1"/>
    <col min="13338" max="13338" width="16.85546875" bestFit="1" customWidth="1"/>
    <col min="13339" max="13339" width="16.85546875" customWidth="1"/>
    <col min="13340" max="13340" width="12.7109375" bestFit="1" customWidth="1"/>
    <col min="13341" max="13342" width="12" bestFit="1" customWidth="1"/>
    <col min="13343" max="13343" width="12.28515625" bestFit="1" customWidth="1"/>
    <col min="13344" max="13344" width="16.85546875" bestFit="1" customWidth="1"/>
    <col min="13348" max="13348" width="14.5703125" customWidth="1"/>
    <col min="13572" max="13572" width="12.85546875" bestFit="1" customWidth="1"/>
    <col min="13573" max="13573" width="9.7109375" bestFit="1" customWidth="1"/>
    <col min="13575" max="13575" width="19.7109375" bestFit="1" customWidth="1"/>
    <col min="13576" max="13576" width="10.7109375" bestFit="1" customWidth="1"/>
    <col min="13579" max="13579" width="10.140625" bestFit="1" customWidth="1"/>
    <col min="13587" max="13587" width="13" customWidth="1"/>
    <col min="13588" max="13589" width="14.42578125" customWidth="1"/>
    <col min="13590" max="13590" width="12.7109375" bestFit="1" customWidth="1"/>
    <col min="13591" max="13592" width="12" bestFit="1" customWidth="1"/>
    <col min="13593" max="13593" width="12.28515625" bestFit="1" customWidth="1"/>
    <col min="13594" max="13594" width="16.85546875" bestFit="1" customWidth="1"/>
    <col min="13595" max="13595" width="16.85546875" customWidth="1"/>
    <col min="13596" max="13596" width="12.7109375" bestFit="1" customWidth="1"/>
    <col min="13597" max="13598" width="12" bestFit="1" customWidth="1"/>
    <col min="13599" max="13599" width="12.28515625" bestFit="1" customWidth="1"/>
    <col min="13600" max="13600" width="16.85546875" bestFit="1" customWidth="1"/>
    <col min="13604" max="13604" width="14.5703125" customWidth="1"/>
    <col min="13828" max="13828" width="12.85546875" bestFit="1" customWidth="1"/>
    <col min="13829" max="13829" width="9.7109375" bestFit="1" customWidth="1"/>
    <col min="13831" max="13831" width="19.7109375" bestFit="1" customWidth="1"/>
    <col min="13832" max="13832" width="10.7109375" bestFit="1" customWidth="1"/>
    <col min="13835" max="13835" width="10.140625" bestFit="1" customWidth="1"/>
    <col min="13843" max="13843" width="13" customWidth="1"/>
    <col min="13844" max="13845" width="14.42578125" customWidth="1"/>
    <col min="13846" max="13846" width="12.7109375" bestFit="1" customWidth="1"/>
    <col min="13847" max="13848" width="12" bestFit="1" customWidth="1"/>
    <col min="13849" max="13849" width="12.28515625" bestFit="1" customWidth="1"/>
    <col min="13850" max="13850" width="16.85546875" bestFit="1" customWidth="1"/>
    <col min="13851" max="13851" width="16.85546875" customWidth="1"/>
    <col min="13852" max="13852" width="12.7109375" bestFit="1" customWidth="1"/>
    <col min="13853" max="13854" width="12" bestFit="1" customWidth="1"/>
    <col min="13855" max="13855" width="12.28515625" bestFit="1" customWidth="1"/>
    <col min="13856" max="13856" width="16.85546875" bestFit="1" customWidth="1"/>
    <col min="13860" max="13860" width="14.5703125" customWidth="1"/>
    <col min="14084" max="14084" width="12.85546875" bestFit="1" customWidth="1"/>
    <col min="14085" max="14085" width="9.7109375" bestFit="1" customWidth="1"/>
    <col min="14087" max="14087" width="19.7109375" bestFit="1" customWidth="1"/>
    <col min="14088" max="14088" width="10.7109375" bestFit="1" customWidth="1"/>
    <col min="14091" max="14091" width="10.140625" bestFit="1" customWidth="1"/>
    <col min="14099" max="14099" width="13" customWidth="1"/>
    <col min="14100" max="14101" width="14.42578125" customWidth="1"/>
    <col min="14102" max="14102" width="12.7109375" bestFit="1" customWidth="1"/>
    <col min="14103" max="14104" width="12" bestFit="1" customWidth="1"/>
    <col min="14105" max="14105" width="12.28515625" bestFit="1" customWidth="1"/>
    <col min="14106" max="14106" width="16.85546875" bestFit="1" customWidth="1"/>
    <col min="14107" max="14107" width="16.85546875" customWidth="1"/>
    <col min="14108" max="14108" width="12.7109375" bestFit="1" customWidth="1"/>
    <col min="14109" max="14110" width="12" bestFit="1" customWidth="1"/>
    <col min="14111" max="14111" width="12.28515625" bestFit="1" customWidth="1"/>
    <col min="14112" max="14112" width="16.85546875" bestFit="1" customWidth="1"/>
    <col min="14116" max="14116" width="14.5703125" customWidth="1"/>
    <col min="14340" max="14340" width="12.85546875" bestFit="1" customWidth="1"/>
    <col min="14341" max="14341" width="9.7109375" bestFit="1" customWidth="1"/>
    <col min="14343" max="14343" width="19.7109375" bestFit="1" customWidth="1"/>
    <col min="14344" max="14344" width="10.7109375" bestFit="1" customWidth="1"/>
    <col min="14347" max="14347" width="10.140625" bestFit="1" customWidth="1"/>
    <col min="14355" max="14355" width="13" customWidth="1"/>
    <col min="14356" max="14357" width="14.42578125" customWidth="1"/>
    <col min="14358" max="14358" width="12.7109375" bestFit="1" customWidth="1"/>
    <col min="14359" max="14360" width="12" bestFit="1" customWidth="1"/>
    <col min="14361" max="14361" width="12.28515625" bestFit="1" customWidth="1"/>
    <col min="14362" max="14362" width="16.85546875" bestFit="1" customWidth="1"/>
    <col min="14363" max="14363" width="16.85546875" customWidth="1"/>
    <col min="14364" max="14364" width="12.7109375" bestFit="1" customWidth="1"/>
    <col min="14365" max="14366" width="12" bestFit="1" customWidth="1"/>
    <col min="14367" max="14367" width="12.28515625" bestFit="1" customWidth="1"/>
    <col min="14368" max="14368" width="16.85546875" bestFit="1" customWidth="1"/>
    <col min="14372" max="14372" width="14.5703125" customWidth="1"/>
    <col min="14596" max="14596" width="12.85546875" bestFit="1" customWidth="1"/>
    <col min="14597" max="14597" width="9.7109375" bestFit="1" customWidth="1"/>
    <col min="14599" max="14599" width="19.7109375" bestFit="1" customWidth="1"/>
    <col min="14600" max="14600" width="10.7109375" bestFit="1" customWidth="1"/>
    <col min="14603" max="14603" width="10.140625" bestFit="1" customWidth="1"/>
    <col min="14611" max="14611" width="13" customWidth="1"/>
    <col min="14612" max="14613" width="14.42578125" customWidth="1"/>
    <col min="14614" max="14614" width="12.7109375" bestFit="1" customWidth="1"/>
    <col min="14615" max="14616" width="12" bestFit="1" customWidth="1"/>
    <col min="14617" max="14617" width="12.28515625" bestFit="1" customWidth="1"/>
    <col min="14618" max="14618" width="16.85546875" bestFit="1" customWidth="1"/>
    <col min="14619" max="14619" width="16.85546875" customWidth="1"/>
    <col min="14620" max="14620" width="12.7109375" bestFit="1" customWidth="1"/>
    <col min="14621" max="14622" width="12" bestFit="1" customWidth="1"/>
    <col min="14623" max="14623" width="12.28515625" bestFit="1" customWidth="1"/>
    <col min="14624" max="14624" width="16.85546875" bestFit="1" customWidth="1"/>
    <col min="14628" max="14628" width="14.5703125" customWidth="1"/>
    <col min="14852" max="14852" width="12.85546875" bestFit="1" customWidth="1"/>
    <col min="14853" max="14853" width="9.7109375" bestFit="1" customWidth="1"/>
    <col min="14855" max="14855" width="19.7109375" bestFit="1" customWidth="1"/>
    <col min="14856" max="14856" width="10.7109375" bestFit="1" customWidth="1"/>
    <col min="14859" max="14859" width="10.140625" bestFit="1" customWidth="1"/>
    <col min="14867" max="14867" width="13" customWidth="1"/>
    <col min="14868" max="14869" width="14.42578125" customWidth="1"/>
    <col min="14870" max="14870" width="12.7109375" bestFit="1" customWidth="1"/>
    <col min="14871" max="14872" width="12" bestFit="1" customWidth="1"/>
    <col min="14873" max="14873" width="12.28515625" bestFit="1" customWidth="1"/>
    <col min="14874" max="14874" width="16.85546875" bestFit="1" customWidth="1"/>
    <col min="14875" max="14875" width="16.85546875" customWidth="1"/>
    <col min="14876" max="14876" width="12.7109375" bestFit="1" customWidth="1"/>
    <col min="14877" max="14878" width="12" bestFit="1" customWidth="1"/>
    <col min="14879" max="14879" width="12.28515625" bestFit="1" customWidth="1"/>
    <col min="14880" max="14880" width="16.85546875" bestFit="1" customWidth="1"/>
    <col min="14884" max="14884" width="14.5703125" customWidth="1"/>
    <col min="15108" max="15108" width="12.85546875" bestFit="1" customWidth="1"/>
    <col min="15109" max="15109" width="9.7109375" bestFit="1" customWidth="1"/>
    <col min="15111" max="15111" width="19.7109375" bestFit="1" customWidth="1"/>
    <col min="15112" max="15112" width="10.7109375" bestFit="1" customWidth="1"/>
    <col min="15115" max="15115" width="10.140625" bestFit="1" customWidth="1"/>
    <col min="15123" max="15123" width="13" customWidth="1"/>
    <col min="15124" max="15125" width="14.42578125" customWidth="1"/>
    <col min="15126" max="15126" width="12.7109375" bestFit="1" customWidth="1"/>
    <col min="15127" max="15128" width="12" bestFit="1" customWidth="1"/>
    <col min="15129" max="15129" width="12.28515625" bestFit="1" customWidth="1"/>
    <col min="15130" max="15130" width="16.85546875" bestFit="1" customWidth="1"/>
    <col min="15131" max="15131" width="16.85546875" customWidth="1"/>
    <col min="15132" max="15132" width="12.7109375" bestFit="1" customWidth="1"/>
    <col min="15133" max="15134" width="12" bestFit="1" customWidth="1"/>
    <col min="15135" max="15135" width="12.28515625" bestFit="1" customWidth="1"/>
    <col min="15136" max="15136" width="16.85546875" bestFit="1" customWidth="1"/>
    <col min="15140" max="15140" width="14.5703125" customWidth="1"/>
    <col min="15364" max="15364" width="12.85546875" bestFit="1" customWidth="1"/>
    <col min="15365" max="15365" width="9.7109375" bestFit="1" customWidth="1"/>
    <col min="15367" max="15367" width="19.7109375" bestFit="1" customWidth="1"/>
    <col min="15368" max="15368" width="10.7109375" bestFit="1" customWidth="1"/>
    <col min="15371" max="15371" width="10.140625" bestFit="1" customWidth="1"/>
    <col min="15379" max="15379" width="13" customWidth="1"/>
    <col min="15380" max="15381" width="14.42578125" customWidth="1"/>
    <col min="15382" max="15382" width="12.7109375" bestFit="1" customWidth="1"/>
    <col min="15383" max="15384" width="12" bestFit="1" customWidth="1"/>
    <col min="15385" max="15385" width="12.28515625" bestFit="1" customWidth="1"/>
    <col min="15386" max="15386" width="16.85546875" bestFit="1" customWidth="1"/>
    <col min="15387" max="15387" width="16.85546875" customWidth="1"/>
    <col min="15388" max="15388" width="12.7109375" bestFit="1" customWidth="1"/>
    <col min="15389" max="15390" width="12" bestFit="1" customWidth="1"/>
    <col min="15391" max="15391" width="12.28515625" bestFit="1" customWidth="1"/>
    <col min="15392" max="15392" width="16.85546875" bestFit="1" customWidth="1"/>
    <col min="15396" max="15396" width="14.5703125" customWidth="1"/>
    <col min="15620" max="15620" width="12.85546875" bestFit="1" customWidth="1"/>
    <col min="15621" max="15621" width="9.7109375" bestFit="1" customWidth="1"/>
    <col min="15623" max="15623" width="19.7109375" bestFit="1" customWidth="1"/>
    <col min="15624" max="15624" width="10.7109375" bestFit="1" customWidth="1"/>
    <col min="15627" max="15627" width="10.140625" bestFit="1" customWidth="1"/>
    <col min="15635" max="15635" width="13" customWidth="1"/>
    <col min="15636" max="15637" width="14.42578125" customWidth="1"/>
    <col min="15638" max="15638" width="12.7109375" bestFit="1" customWidth="1"/>
    <col min="15639" max="15640" width="12" bestFit="1" customWidth="1"/>
    <col min="15641" max="15641" width="12.28515625" bestFit="1" customWidth="1"/>
    <col min="15642" max="15642" width="16.85546875" bestFit="1" customWidth="1"/>
    <col min="15643" max="15643" width="16.85546875" customWidth="1"/>
    <col min="15644" max="15644" width="12.7109375" bestFit="1" customWidth="1"/>
    <col min="15645" max="15646" width="12" bestFit="1" customWidth="1"/>
    <col min="15647" max="15647" width="12.28515625" bestFit="1" customWidth="1"/>
    <col min="15648" max="15648" width="16.85546875" bestFit="1" customWidth="1"/>
    <col min="15652" max="15652" width="14.5703125" customWidth="1"/>
    <col min="15876" max="15876" width="12.85546875" bestFit="1" customWidth="1"/>
    <col min="15877" max="15877" width="9.7109375" bestFit="1" customWidth="1"/>
    <col min="15879" max="15879" width="19.7109375" bestFit="1" customWidth="1"/>
    <col min="15880" max="15880" width="10.7109375" bestFit="1" customWidth="1"/>
    <col min="15883" max="15883" width="10.140625" bestFit="1" customWidth="1"/>
    <col min="15891" max="15891" width="13" customWidth="1"/>
    <col min="15892" max="15893" width="14.42578125" customWidth="1"/>
    <col min="15894" max="15894" width="12.7109375" bestFit="1" customWidth="1"/>
    <col min="15895" max="15896" width="12" bestFit="1" customWidth="1"/>
    <col min="15897" max="15897" width="12.28515625" bestFit="1" customWidth="1"/>
    <col min="15898" max="15898" width="16.85546875" bestFit="1" customWidth="1"/>
    <col min="15899" max="15899" width="16.85546875" customWidth="1"/>
    <col min="15900" max="15900" width="12.7109375" bestFit="1" customWidth="1"/>
    <col min="15901" max="15902" width="12" bestFit="1" customWidth="1"/>
    <col min="15903" max="15903" width="12.28515625" bestFit="1" customWidth="1"/>
    <col min="15904" max="15904" width="16.85546875" bestFit="1" customWidth="1"/>
    <col min="15908" max="15908" width="14.5703125" customWidth="1"/>
    <col min="16132" max="16132" width="12.85546875" bestFit="1" customWidth="1"/>
    <col min="16133" max="16133" width="9.7109375" bestFit="1" customWidth="1"/>
    <col min="16135" max="16135" width="19.7109375" bestFit="1" customWidth="1"/>
    <col min="16136" max="16136" width="10.7109375" bestFit="1" customWidth="1"/>
    <col min="16139" max="16139" width="10.140625" bestFit="1" customWidth="1"/>
    <col min="16147" max="16147" width="13" customWidth="1"/>
    <col min="16148" max="16149" width="14.42578125" customWidth="1"/>
    <col min="16150" max="16150" width="12.7109375" bestFit="1" customWidth="1"/>
    <col min="16151" max="16152" width="12" bestFit="1" customWidth="1"/>
    <col min="16153" max="16153" width="12.28515625" bestFit="1" customWidth="1"/>
    <col min="16154" max="16154" width="16.85546875" bestFit="1" customWidth="1"/>
    <col min="16155" max="16155" width="16.85546875" customWidth="1"/>
    <col min="16156" max="16156" width="12.7109375" bestFit="1" customWidth="1"/>
    <col min="16157" max="16158" width="12" bestFit="1" customWidth="1"/>
    <col min="16159" max="16159" width="12.28515625" bestFit="1" customWidth="1"/>
    <col min="16160" max="16160" width="16.85546875" bestFit="1" customWidth="1"/>
    <col min="16164" max="16164" width="14.5703125" customWidth="1"/>
  </cols>
  <sheetData>
    <row r="2" spans="2:38" x14ac:dyDescent="0.25">
      <c r="Q2" s="26">
        <f>ZCBond(I2,$C$4,$F$10,K2,$F$4,$F$5,$F$6)</f>
        <v>0.30255631774842562</v>
      </c>
      <c r="S2" s="11">
        <f ca="1">SUM(S5:S161)</f>
        <v>0</v>
      </c>
    </row>
    <row r="3" spans="2:38" ht="15.75" thickBot="1" x14ac:dyDescent="0.3">
      <c r="B3" s="1" t="s">
        <v>0</v>
      </c>
      <c r="E3" s="1" t="s">
        <v>1</v>
      </c>
    </row>
    <row r="4" spans="2:38" ht="15.75" thickBot="1" x14ac:dyDescent="0.3">
      <c r="B4" s="3" t="s">
        <v>2</v>
      </c>
      <c r="C4" s="4">
        <v>44511</v>
      </c>
      <c r="E4" s="5" t="s">
        <v>38</v>
      </c>
      <c r="F4" s="6">
        <v>0.05</v>
      </c>
      <c r="J4" t="s">
        <v>3</v>
      </c>
      <c r="K4" t="s">
        <v>4</v>
      </c>
      <c r="L4" t="s">
        <v>37</v>
      </c>
      <c r="M4" t="s">
        <v>36</v>
      </c>
      <c r="N4" t="s">
        <v>41</v>
      </c>
      <c r="O4" t="s">
        <v>42</v>
      </c>
      <c r="P4" t="s">
        <v>5</v>
      </c>
      <c r="Q4" s="26" t="s">
        <v>6</v>
      </c>
      <c r="R4" t="s">
        <v>31</v>
      </c>
      <c r="S4" t="s">
        <v>29</v>
      </c>
      <c r="T4" t="s">
        <v>7</v>
      </c>
      <c r="U4" t="s">
        <v>33</v>
      </c>
      <c r="V4" s="2" t="s">
        <v>8</v>
      </c>
      <c r="W4" s="2" t="s">
        <v>34</v>
      </c>
      <c r="X4" s="2" t="s">
        <v>25</v>
      </c>
      <c r="Y4" t="s">
        <v>9</v>
      </c>
      <c r="Z4" t="s">
        <v>10</v>
      </c>
      <c r="AA4" t="s">
        <v>11</v>
      </c>
      <c r="AB4" s="2" t="s">
        <v>35</v>
      </c>
      <c r="AC4" t="s">
        <v>26</v>
      </c>
      <c r="AD4" t="s">
        <v>12</v>
      </c>
      <c r="AE4" t="s">
        <v>13</v>
      </c>
      <c r="AF4" t="s">
        <v>14</v>
      </c>
      <c r="AG4" t="s">
        <v>15</v>
      </c>
      <c r="AH4" t="s">
        <v>27</v>
      </c>
      <c r="AI4" t="s">
        <v>28</v>
      </c>
      <c r="AJ4" t="s">
        <v>16</v>
      </c>
      <c r="AK4" t="s">
        <v>17</v>
      </c>
      <c r="AL4" t="s">
        <v>30</v>
      </c>
    </row>
    <row r="5" spans="2:38" ht="15.75" thickBot="1" x14ac:dyDescent="0.3">
      <c r="C5" s="7"/>
      <c r="E5" s="8" t="s">
        <v>39</v>
      </c>
      <c r="F5" s="9">
        <v>0.06</v>
      </c>
      <c r="I5" s="10">
        <v>43418</v>
      </c>
      <c r="J5">
        <f t="shared" ref="J5:J10" si="0">($C$4-I5)/365.25</f>
        <v>2.9924709103353866</v>
      </c>
      <c r="K5" s="11">
        <f>$F$7</f>
        <v>0.06</v>
      </c>
      <c r="L5" s="11">
        <f>(1-EXP(-$F$4*($I$42-I5)/365.25))/$F$4</f>
        <v>2.7793589040382738</v>
      </c>
      <c r="M5" s="11">
        <f>IF(L5=0,1,EXP((L5-($I$42-I5)/365.25)*($F$4*$F$4*$F$5-0.5*$F$6*$F$6)/($F$4*$F$4)-$F$6*$F$6*L5*L5/(4*$F$4)))</f>
        <v>0.98887491488911972</v>
      </c>
      <c r="N5" s="11">
        <f>M5*EXP(-L5*K5)</f>
        <v>0.83698513713911038</v>
      </c>
      <c r="O5" s="11">
        <f>-L5*N5</f>
        <v>-2.3262820934552821</v>
      </c>
      <c r="P5">
        <f t="shared" ref="P5:P42" si="1">SurvProb(I5,$C$4,$F$10,K5,$F$4,$F$5,$F$6)</f>
        <v>0.83698513713911038</v>
      </c>
      <c r="Q5" s="26">
        <f>ZCBond(I5,$C$4,$F$10,K5,$F$4,$F$5,$F$6)</f>
        <v>0.78836162126390286</v>
      </c>
      <c r="R5">
        <f t="shared" ref="R5:R42" si="2">DerZCBond(I5,$C$4,$F$10,K5,$F$4,$F$5,$F$6)</f>
        <v>-2.1911398916618778</v>
      </c>
      <c r="S5" s="11">
        <f ca="1">IF(-LN(RAND())/(K5*$F$18)&lt;(H6-H5),1,0)</f>
        <v>0</v>
      </c>
      <c r="T5" s="11">
        <f t="shared" ref="T5:T42" si="3">$F$16-Q5</f>
        <v>-0.38836162126390283</v>
      </c>
      <c r="U5" s="11">
        <f ca="1">IF(S5&gt;0,$F$16,Q5)</f>
        <v>0.78836162126390286</v>
      </c>
      <c r="V5" s="2">
        <f t="shared" ref="V5:V42" si="4">ZCBond(I5,I5+$F$13*365,$F$10,K5,$F$4,$F$5,$F$6)</f>
        <v>0.85265834782774286</v>
      </c>
      <c r="W5" s="2">
        <f ca="1">IF(S5&gt;0,$F$16,V5)</f>
        <v>0.85265834782774286</v>
      </c>
      <c r="Y5" s="27">
        <f t="shared" ref="Y5:Y42" si="5">DerZCBond(I5,I5+$F$13*365,$F$10,K5,$F$4,$F$5,$F$6)</f>
        <v>-1.6217672126476279</v>
      </c>
      <c r="Z5" s="11">
        <f t="shared" ref="Z5:Z42" si="6">$F$16-V5</f>
        <v>-0.45265834782774284</v>
      </c>
      <c r="AA5">
        <f t="shared" ref="AA5:AA42" si="7">ZCBond(I5,I5+$F$14*365,$F$10,K5,$F$4,$F$5,$F$6)</f>
        <v>0.67516266979876161</v>
      </c>
      <c r="AB5">
        <f ca="1">IF(S5&gt;0,$F$16,AA5)</f>
        <v>0.67516266979876161</v>
      </c>
      <c r="AD5">
        <f t="shared" ref="AD5:AD42" si="8">DerZCBond(I5,I5+$F$14*365,$F$10,K5,$F$4,$F$5,$F$6)</f>
        <v>-2.9851094118588479</v>
      </c>
      <c r="AE5" s="11">
        <f t="shared" ref="AE5:AE42" si="9">$F$16-AA5</f>
        <v>-0.27516266979876158</v>
      </c>
      <c r="AF5">
        <f t="shared" ref="AF5:AF42" si="10">(AD5*T5-R5*AE5)/(AD5*Z5-Y5*AE5)</f>
        <v>0.61479703065859215</v>
      </c>
      <c r="AG5">
        <f t="shared" ref="AG5:AG42" si="11">(R5-Y5*AF5)/AD5</f>
        <v>0.40001288400450669</v>
      </c>
      <c r="AH5" s="28">
        <f t="shared" ref="AH5:AH42" si="12">AF5*Y5+AG5*AD5-R5</f>
        <v>0</v>
      </c>
      <c r="AI5" s="28">
        <f t="shared" ref="AI5:AI42" si="13">AF5*Z5+AG5*AE5-T5</f>
        <v>0</v>
      </c>
      <c r="AJ5" s="12">
        <f>Q5-AF5*V5-AG5*AA5</f>
        <v>-5.9239658652395222E-3</v>
      </c>
      <c r="AK5" s="29">
        <f ca="1">AF5*W5+AG5*AB5+AJ5</f>
        <v>0.78836162126390286</v>
      </c>
      <c r="AL5" s="12">
        <f ca="1">AK5-U5</f>
        <v>0</v>
      </c>
    </row>
    <row r="6" spans="2:38" ht="15.75" thickBot="1" x14ac:dyDescent="0.3">
      <c r="B6" s="13" t="s">
        <v>18</v>
      </c>
      <c r="C6" s="10">
        <v>43418</v>
      </c>
      <c r="E6" s="8" t="s">
        <v>40</v>
      </c>
      <c r="F6" s="14">
        <v>0.02</v>
      </c>
      <c r="H6">
        <f>(I6-$C$6)/365.25</f>
        <v>8.2135523613963035E-2</v>
      </c>
      <c r="I6" s="15">
        <f>I5+30</f>
        <v>43448</v>
      </c>
      <c r="J6">
        <f t="shared" si="0"/>
        <v>2.9103353867214237</v>
      </c>
      <c r="K6" s="16">
        <f t="shared" ref="K6:K42" ca="1" si="14">K5+$F$4*($F$5-K5)*(I6-I5)/365.25+SQRT((I6-I5)/365.25)*$F$6*NORMINV(RAND(),0,1)</f>
        <v>6.2210190830530226E-2</v>
      </c>
      <c r="L6" s="11">
        <f t="shared" ref="L6:L42" si="15">(1-EXP(-$F$4*($I$42-I6)/365.25))/$F$4</f>
        <v>2.7084921680582319</v>
      </c>
      <c r="M6" s="11">
        <f t="shared" ref="M6:M42" si="16">IF(L6=0,1,EXP((L6-($I$42-I6)/365.25)*($F$4*$F$4*$F$5-0.5*$F$6*$F$6)/($F$4*$F$4)-$F$6*$F$6*L6*L6/(4*$F$4)))</f>
        <v>0.98942135634333661</v>
      </c>
      <c r="N6" s="11">
        <f t="shared" ref="N6:N42" ca="1" si="17">M6*EXP(-L6*K6)</f>
        <v>0.83599653560974752</v>
      </c>
      <c r="O6" s="11">
        <f t="shared" ref="O6:O42" ca="1" si="18">-L6*N6</f>
        <v>-2.2642900692228158</v>
      </c>
      <c r="P6">
        <f t="shared" ca="1" si="1"/>
        <v>0.83599653560974752</v>
      </c>
      <c r="Q6" s="26">
        <f t="shared" ref="Q5:Q42" ca="1" si="19">ZCBond(I6,$C$4,$F$10,K6,$F$4,$F$5,$F$6)</f>
        <v>0.78872503446900455</v>
      </c>
      <c r="R6">
        <f t="shared" ca="1" si="2"/>
        <v>-2.1362555786107578</v>
      </c>
      <c r="S6" s="11">
        <f ca="1">S5+IF(-LN(RAND())/(K6*$F$18)&lt;(H7-H6),1,0)</f>
        <v>0</v>
      </c>
      <c r="T6" s="11">
        <f t="shared" ca="1" si="3"/>
        <v>-0.38872503446900453</v>
      </c>
      <c r="U6" s="11">
        <f t="shared" ref="U6:U42" ca="1" si="20">IF(S6&gt;0,$F$16,Q6)</f>
        <v>0.78872503446900455</v>
      </c>
      <c r="V6" s="2">
        <f t="shared" ca="1" si="4"/>
        <v>0.84908145636152554</v>
      </c>
      <c r="W6" s="2">
        <f t="shared" ref="W6:W42" ca="1" si="21">IF(S6&gt;0,$F$16,V6)</f>
        <v>0.84908145636152554</v>
      </c>
      <c r="X6" s="2">
        <f t="shared" ref="X6:X42" ca="1" si="22">ZCBond(I6,I5+$F$13*365,$F$10,K6,$F$4,$F$5,$F$6)</f>
        <v>0.85477086924521184</v>
      </c>
      <c r="Y6" s="27">
        <f t="shared" ca="1" si="5"/>
        <v>-1.6149639187868585</v>
      </c>
      <c r="Z6" s="11">
        <f t="shared" ca="1" si="6"/>
        <v>-0.44908145636152552</v>
      </c>
      <c r="AA6">
        <f t="shared" ca="1" si="7"/>
        <v>0.66859713963775647</v>
      </c>
      <c r="AB6">
        <f t="shared" ref="AB6:AB42" ca="1" si="23">IF(S6&gt;0,$F$16,AA6)</f>
        <v>0.66859713963775647</v>
      </c>
      <c r="AC6">
        <f t="shared" ref="AC6:AC42" ca="1" si="24">ZCBond(I6,I5+$F$14*365,$F$10,K6,$F$4,$F$5,$F$6)</f>
        <v>0.67288722496747255</v>
      </c>
      <c r="AD6">
        <f t="shared" ca="1" si="8"/>
        <v>-2.9560811098597144</v>
      </c>
      <c r="AE6" s="11">
        <f t="shared" ca="1" si="9"/>
        <v>-0.26859713963775644</v>
      </c>
      <c r="AF6">
        <f t="shared" ca="1" si="10"/>
        <v>0.64370666629358242</v>
      </c>
      <c r="AG6">
        <f t="shared" ca="1" si="11"/>
        <v>0.37099541504667799</v>
      </c>
      <c r="AH6" s="28">
        <f t="shared" ca="1" si="12"/>
        <v>0</v>
      </c>
      <c r="AI6" s="28">
        <f t="shared" ca="1" si="13"/>
        <v>0</v>
      </c>
      <c r="AJ6" s="12">
        <f ca="1">IF(S5&gt;0,AJ5,AF5*X6+AG5*AC6-AF6*V6-AG6*AA6+AJ5*EXP($F$10*(H6-H5)))</f>
        <v>-5.865420453946996E-3</v>
      </c>
      <c r="AK6" s="29">
        <f ca="1">IF(S5&gt;0,AK5,AF6*W6+AG6*AB6+AJ6)</f>
        <v>0.7887404465511616</v>
      </c>
      <c r="AL6" s="12">
        <f t="shared" ref="AL6:AL42" ca="1" si="25">AK6-U6</f>
        <v>1.5412082157051366E-5</v>
      </c>
    </row>
    <row r="7" spans="2:38" ht="15.75" thickBot="1" x14ac:dyDescent="0.3">
      <c r="E7" s="19" t="s">
        <v>19</v>
      </c>
      <c r="F7" s="20">
        <v>0.06</v>
      </c>
      <c r="H7">
        <f t="shared" ref="H6:H42" si="26">(I7-$C$6)/365.25</f>
        <v>0.16427104722792607</v>
      </c>
      <c r="I7" s="15">
        <f t="shared" ref="I7:I41" si="27">I6+30</f>
        <v>43478</v>
      </c>
      <c r="J7">
        <f t="shared" si="0"/>
        <v>2.8281998631074607</v>
      </c>
      <c r="K7" s="16">
        <f t="shared" ca="1" si="14"/>
        <v>6.0653980011442621E-2</v>
      </c>
      <c r="L7" s="11">
        <f t="shared" si="15"/>
        <v>2.6373337998305613</v>
      </c>
      <c r="M7" s="11">
        <f t="shared" si="16"/>
        <v>0.98995703292826187</v>
      </c>
      <c r="N7" s="11">
        <f t="shared" ca="1" si="17"/>
        <v>0.84361543879837342</v>
      </c>
      <c r="O7" s="11">
        <f t="shared" ca="1" si="18"/>
        <v>-2.2248955108018404</v>
      </c>
      <c r="P7">
        <f t="shared" ca="1" si="1"/>
        <v>0.84361543879837342</v>
      </c>
      <c r="Q7" s="26">
        <f t="shared" ca="1" si="19"/>
        <v>0.79722165537513434</v>
      </c>
      <c r="R7">
        <f t="shared" ca="1" si="2"/>
        <v>-2.1025396176777131</v>
      </c>
      <c r="S7" s="11">
        <f t="shared" ref="S7:S42" ca="1" si="28">S6+IF(-LN(RAND())/(K7*$F$18)&lt;(H8-H7),1,0)</f>
        <v>0</v>
      </c>
      <c r="T7" s="11">
        <f t="shared" ca="1" si="3"/>
        <v>-0.39722165537513432</v>
      </c>
      <c r="U7" s="11">
        <f t="shared" ca="1" si="20"/>
        <v>0.79722165537513434</v>
      </c>
      <c r="V7" s="2">
        <f t="shared" ca="1" si="4"/>
        <v>0.8515984038448603</v>
      </c>
      <c r="W7" s="2">
        <f t="shared" ca="1" si="21"/>
        <v>0.8515984038448603</v>
      </c>
      <c r="X7" s="2">
        <f t="shared" ca="1" si="22"/>
        <v>0.85720532418537798</v>
      </c>
      <c r="Y7" s="27">
        <f t="shared" ca="1" si="5"/>
        <v>-1.6197511854744213</v>
      </c>
      <c r="Z7" s="11">
        <f t="shared" ca="1" si="6"/>
        <v>-0.45159840384486027</v>
      </c>
      <c r="AA7">
        <f t="shared" ca="1" si="7"/>
        <v>0.6732132875442699</v>
      </c>
      <c r="AB7">
        <f t="shared" ca="1" si="23"/>
        <v>0.6732132875442699</v>
      </c>
      <c r="AC7">
        <f t="shared" ca="1" si="24"/>
        <v>0.67746539971596698</v>
      </c>
      <c r="AD7">
        <f t="shared" ca="1" si="8"/>
        <v>-2.9764905714289882</v>
      </c>
      <c r="AE7" s="11">
        <f t="shared" ca="1" si="9"/>
        <v>-0.27321328754426988</v>
      </c>
      <c r="AF7">
        <f t="shared" ca="1" si="10"/>
        <v>0.67419832897669096</v>
      </c>
      <c r="AG7">
        <f t="shared" ca="1" si="11"/>
        <v>0.33949580918299654</v>
      </c>
      <c r="AH7" s="28">
        <f t="shared" ca="1" si="12"/>
        <v>0</v>
      </c>
      <c r="AI7" s="28">
        <f t="shared" ca="1" si="13"/>
        <v>0</v>
      </c>
      <c r="AJ7" s="12">
        <f t="shared" ref="AJ7:AJ42" ca="1" si="29">IF(S6&gt;0,AJ6,AF6*X7+AG6*AC7-AF7*V7-AG7*AA7+AJ6*EXP($F$10*(H7-H6)))</f>
        <v>-5.4490354909392602E-3</v>
      </c>
      <c r="AK7" s="29">
        <f t="shared" ref="AK7:AK42" ca="1" si="30">IF(S6&gt;0,AK6,AF7*W7+AG7*AB7+AJ7)</f>
        <v>0.79725027514807012</v>
      </c>
      <c r="AL7" s="12">
        <f t="shared" ca="1" si="25"/>
        <v>2.8619772935778443E-5</v>
      </c>
    </row>
    <row r="8" spans="2:38" x14ac:dyDescent="0.25">
      <c r="B8" s="17"/>
      <c r="C8" s="18"/>
      <c r="H8">
        <f t="shared" si="26"/>
        <v>0.24640657084188911</v>
      </c>
      <c r="I8" s="15">
        <f t="shared" si="27"/>
        <v>43508</v>
      </c>
      <c r="J8">
        <f t="shared" si="0"/>
        <v>2.7460643394934978</v>
      </c>
      <c r="K8" s="16">
        <f t="shared" ca="1" si="14"/>
        <v>5.8188977990355807E-2</v>
      </c>
      <c r="L8" s="11">
        <f t="shared" si="15"/>
        <v>2.5658825992242407</v>
      </c>
      <c r="M8" s="11">
        <f t="shared" si="16"/>
        <v>0.99048171615575009</v>
      </c>
      <c r="N8" s="11">
        <f t="shared" ca="1" si="17"/>
        <v>0.85310729126765539</v>
      </c>
      <c r="O8" s="11">
        <f t="shared" ca="1" si="18"/>
        <v>-2.1889731539350028</v>
      </c>
      <c r="P8">
        <f t="shared" ca="1" si="1"/>
        <v>0.85310729126765539</v>
      </c>
      <c r="Q8" s="26">
        <f t="shared" ca="1" si="19"/>
        <v>0.80751694054475853</v>
      </c>
      <c r="R8">
        <f t="shared" ca="1" si="2"/>
        <v>-2.0719936663225913</v>
      </c>
      <c r="S8" s="11">
        <f t="shared" ca="1" si="28"/>
        <v>0</v>
      </c>
      <c r="T8" s="11">
        <f t="shared" ca="1" si="3"/>
        <v>-0.40751694054475851</v>
      </c>
      <c r="U8" s="11">
        <f t="shared" ca="1" si="20"/>
        <v>0.80751694054475853</v>
      </c>
      <c r="V8" s="2">
        <f t="shared" ca="1" si="4"/>
        <v>0.85560046823058966</v>
      </c>
      <c r="W8" s="2">
        <f t="shared" ca="1" si="21"/>
        <v>0.85560046823058966</v>
      </c>
      <c r="X8" s="2">
        <f t="shared" ca="1" si="22"/>
        <v>0.86107564179841378</v>
      </c>
      <c r="Y8" s="27">
        <f t="shared" ca="1" si="5"/>
        <v>-1.6273631637306782</v>
      </c>
      <c r="Z8" s="11">
        <f t="shared" ca="1" si="6"/>
        <v>-0.45560046823058964</v>
      </c>
      <c r="AA8">
        <f t="shared" ca="1" si="7"/>
        <v>0.68059047013057394</v>
      </c>
      <c r="AB8">
        <f t="shared" ca="1" si="23"/>
        <v>0.68059047013057394</v>
      </c>
      <c r="AC8">
        <f t="shared" ca="1" si="24"/>
        <v>0.68478095278102591</v>
      </c>
      <c r="AD8">
        <f t="shared" ca="1" si="8"/>
        <v>-3.009107447563359</v>
      </c>
      <c r="AE8" s="11">
        <f t="shared" ca="1" si="9"/>
        <v>-0.28059047013057392</v>
      </c>
      <c r="AF8">
        <f t="shared" ca="1" si="10"/>
        <v>0.70530538948595234</v>
      </c>
      <c r="AG8">
        <f t="shared" ca="1" si="11"/>
        <v>0.30713614332409905</v>
      </c>
      <c r="AH8" s="28">
        <f t="shared" ca="1" si="12"/>
        <v>0</v>
      </c>
      <c r="AI8" s="28">
        <f t="shared" ca="1" si="13"/>
        <v>0</v>
      </c>
      <c r="AJ8" s="12">
        <f ca="1">IF(S7&gt;0,AJ7,AF7*X8+AG7*AC8-AF8*V8-AG8*AA8+AJ7*EXP($F$10*(H8-H7)))</f>
        <v>-4.9355252029954005E-3</v>
      </c>
      <c r="AK8" s="29">
        <f t="shared" ca="1" si="30"/>
        <v>0.80755802846578373</v>
      </c>
      <c r="AL8" s="12">
        <f t="shared" ca="1" si="25"/>
        <v>4.1087921025195762E-5</v>
      </c>
    </row>
    <row r="9" spans="2:38" ht="15.75" thickBot="1" x14ac:dyDescent="0.3">
      <c r="E9" s="1" t="s">
        <v>20</v>
      </c>
      <c r="H9">
        <f t="shared" si="26"/>
        <v>0.32854209445585214</v>
      </c>
      <c r="I9" s="15">
        <f t="shared" si="27"/>
        <v>43538</v>
      </c>
      <c r="J9">
        <f t="shared" si="0"/>
        <v>2.6639288158795345</v>
      </c>
      <c r="K9" s="16">
        <f t="shared" ca="1" si="14"/>
        <v>5.8060053586111118E-2</v>
      </c>
      <c r="L9" s="11">
        <f t="shared" si="15"/>
        <v>2.4941373611694551</v>
      </c>
      <c r="M9" s="11">
        <f t="shared" si="16"/>
        <v>0.99099517522279068</v>
      </c>
      <c r="N9" s="11">
        <f t="shared" ca="1" si="17"/>
        <v>0.85739602400455717</v>
      </c>
      <c r="O9" s="11">
        <f t="shared" ca="1" si="18"/>
        <v>-2.1384634567879091</v>
      </c>
      <c r="P9">
        <f t="shared" ca="1" si="1"/>
        <v>0.85739602400455717</v>
      </c>
      <c r="Q9" s="26">
        <f t="shared" ca="1" si="19"/>
        <v>0.81291076271510421</v>
      </c>
      <c r="R9">
        <f t="shared" ca="1" si="2"/>
        <v>-2.0275111045844993</v>
      </c>
      <c r="S9" s="11">
        <f t="shared" ca="1" si="28"/>
        <v>0</v>
      </c>
      <c r="T9" s="11">
        <f t="shared" ca="1" si="3"/>
        <v>-0.41291076271510418</v>
      </c>
      <c r="U9" s="11">
        <f t="shared" ca="1" si="20"/>
        <v>0.81291076271510421</v>
      </c>
      <c r="V9" s="2">
        <f t="shared" ca="1" si="4"/>
        <v>0.85581030078304943</v>
      </c>
      <c r="W9" s="2">
        <f t="shared" ca="1" si="21"/>
        <v>0.85581030078304943</v>
      </c>
      <c r="X9" s="2">
        <f t="shared" ca="1" si="22"/>
        <v>0.8612785471392822</v>
      </c>
      <c r="Y9" s="27">
        <f t="shared" ca="1" si="5"/>
        <v>-1.6277622679611037</v>
      </c>
      <c r="Z9" s="11">
        <f t="shared" ca="1" si="6"/>
        <v>-0.4558103007830494</v>
      </c>
      <c r="AA9">
        <f t="shared" ca="1" si="7"/>
        <v>0.68097852810465853</v>
      </c>
      <c r="AB9">
        <f t="shared" ca="1" si="23"/>
        <v>0.68097852810465853</v>
      </c>
      <c r="AC9">
        <f t="shared" ca="1" si="24"/>
        <v>0.68516573694984062</v>
      </c>
      <c r="AD9">
        <f t="shared" ca="1" si="8"/>
        <v>-3.0108231755835884</v>
      </c>
      <c r="AE9" s="11">
        <f t="shared" ca="1" si="9"/>
        <v>-0.28097852810465851</v>
      </c>
      <c r="AF9">
        <f t="shared" ca="1" si="10"/>
        <v>0.73608273374694499</v>
      </c>
      <c r="AG9">
        <f t="shared" ca="1" si="11"/>
        <v>0.27545403902134213</v>
      </c>
      <c r="AH9" s="28">
        <f t="shared" ca="1" si="12"/>
        <v>0</v>
      </c>
      <c r="AI9" s="28">
        <f t="shared" ca="1" si="13"/>
        <v>0</v>
      </c>
      <c r="AJ9" s="12">
        <f t="shared" ca="1" si="29"/>
        <v>-4.5655481966963944E-3</v>
      </c>
      <c r="AK9" s="29">
        <f t="shared" ca="1" si="30"/>
        <v>0.81295992362572256</v>
      </c>
      <c r="AL9" s="12">
        <f t="shared" ca="1" si="25"/>
        <v>4.9160910618351039E-5</v>
      </c>
    </row>
    <row r="10" spans="2:38" ht="15.75" thickBot="1" x14ac:dyDescent="0.3">
      <c r="E10" s="13" t="s">
        <v>21</v>
      </c>
      <c r="F10" s="21">
        <v>0.02</v>
      </c>
      <c r="H10">
        <f t="shared" si="26"/>
        <v>0.41067761806981518</v>
      </c>
      <c r="I10" s="15">
        <f t="shared" si="27"/>
        <v>43568</v>
      </c>
      <c r="J10">
        <f t="shared" si="0"/>
        <v>2.5817932922655715</v>
      </c>
      <c r="K10" s="16">
        <f t="shared" ca="1" si="14"/>
        <v>5.2470199745808604E-2</v>
      </c>
      <c r="L10" s="11">
        <f t="shared" si="15"/>
        <v>2.4220968756372541</v>
      </c>
      <c r="M10" s="11">
        <f t="shared" si="16"/>
        <v>0.99149717701008633</v>
      </c>
      <c r="N10" s="11">
        <f t="shared" ca="1" si="17"/>
        <v>0.87316818922286443</v>
      </c>
      <c r="O10" s="11">
        <f t="shared" ca="1" si="18"/>
        <v>-2.1148979430225388</v>
      </c>
      <c r="P10">
        <f t="shared" ca="1" si="1"/>
        <v>0.87316818922286443</v>
      </c>
      <c r="Q10" s="26">
        <f t="shared" ca="1" si="19"/>
        <v>0.82922566205532833</v>
      </c>
      <c r="R10">
        <f t="shared" ca="1" si="2"/>
        <v>-2.0084648852624438</v>
      </c>
      <c r="S10" s="11">
        <f t="shared" ca="1" si="28"/>
        <v>0</v>
      </c>
      <c r="T10" s="11">
        <f t="shared" ca="1" si="3"/>
        <v>-0.42922566205532831</v>
      </c>
      <c r="U10" s="11">
        <f t="shared" ca="1" si="20"/>
        <v>0.82922566205532833</v>
      </c>
      <c r="V10" s="2">
        <f t="shared" ca="1" si="4"/>
        <v>0.86495779574521903</v>
      </c>
      <c r="W10" s="2">
        <f t="shared" ca="1" si="21"/>
        <v>0.86495779574521903</v>
      </c>
      <c r="X10" s="2">
        <f t="shared" ca="1" si="22"/>
        <v>0.87012216870520087</v>
      </c>
      <c r="Y10" s="27">
        <f t="shared" ca="1" si="5"/>
        <v>-1.645160921765761</v>
      </c>
      <c r="Z10" s="11">
        <f t="shared" ca="1" si="6"/>
        <v>-0.464957795745219</v>
      </c>
      <c r="AA10">
        <f t="shared" ca="1" si="7"/>
        <v>0.69801828705136415</v>
      </c>
      <c r="AB10">
        <f t="shared" ca="1" si="23"/>
        <v>0.69801828705136415</v>
      </c>
      <c r="AC10">
        <f t="shared" ca="1" si="24"/>
        <v>0.70205863261096224</v>
      </c>
      <c r="AD10">
        <f t="shared" ca="1" si="8"/>
        <v>-3.0861613823342342</v>
      </c>
      <c r="AE10" s="11">
        <f t="shared" ca="1" si="9"/>
        <v>-0.29801828705136413</v>
      </c>
      <c r="AF10">
        <f t="shared" ca="1" si="10"/>
        <v>0.76864753401244079</v>
      </c>
      <c r="AG10">
        <f t="shared" ca="1" si="11"/>
        <v>0.24104896262129133</v>
      </c>
      <c r="AH10" s="28">
        <f t="shared" ca="1" si="12"/>
        <v>0</v>
      </c>
      <c r="AI10" s="28">
        <f t="shared" ca="1" si="13"/>
        <v>0</v>
      </c>
      <c r="AJ10" s="12">
        <f t="shared" ref="AJ10:AJ22" ca="1" si="31">IF(S9&gt;0,AJ9,AF9*X10+AG9*AC10-AF10*V10-AG10*AA10+AJ9*EXP($F$10*(H10-H9)))</f>
        <v>-3.8105243259521394E-3</v>
      </c>
      <c r="AK10" s="29">
        <f t="shared" ca="1" si="30"/>
        <v>0.82929373638286896</v>
      </c>
      <c r="AL10" s="12">
        <f t="shared" ca="1" si="25"/>
        <v>6.8074327540634805E-5</v>
      </c>
    </row>
    <row r="11" spans="2:38" x14ac:dyDescent="0.25">
      <c r="H11">
        <f t="shared" si="26"/>
        <v>0.49281314168377821</v>
      </c>
      <c r="I11" s="15">
        <f t="shared" si="27"/>
        <v>43598</v>
      </c>
      <c r="J11">
        <f t="shared" ref="J11:J42" si="32">($C$4-I11)/365.25</f>
        <v>2.4996577686516086</v>
      </c>
      <c r="K11" s="16">
        <f t="shared" ca="1" si="14"/>
        <v>5.7405371635980855E-2</v>
      </c>
      <c r="L11" s="11">
        <f t="shared" si="15"/>
        <v>2.3497599276191528</v>
      </c>
      <c r="M11" s="11">
        <f t="shared" si="16"/>
        <v>0.99198748608129084</v>
      </c>
      <c r="N11" s="11">
        <f t="shared" ca="1" si="17"/>
        <v>0.86681159855970202</v>
      </c>
      <c r="O11" s="11">
        <f t="shared" ca="1" si="18"/>
        <v>-2.0367991590910877</v>
      </c>
      <c r="P11">
        <f t="shared" ca="1" si="1"/>
        <v>0.86681159855970202</v>
      </c>
      <c r="Q11" s="26">
        <f t="shared" ca="1" si="19"/>
        <v>0.82454234171392315</v>
      </c>
      <c r="R11">
        <f t="shared" ca="1" si="2"/>
        <v>-1.9374765531846347</v>
      </c>
      <c r="S11" s="11">
        <f t="shared" ca="1" si="28"/>
        <v>0</v>
      </c>
      <c r="T11" s="11">
        <f t="shared" ca="1" si="3"/>
        <v>-0.42454234171392313</v>
      </c>
      <c r="U11" s="11">
        <f t="shared" ca="1" si="20"/>
        <v>0.82454234171392315</v>
      </c>
      <c r="V11" s="2">
        <f t="shared" ca="1" si="4"/>
        <v>0.85687663112569445</v>
      </c>
      <c r="W11" s="2">
        <f t="shared" ca="1" si="21"/>
        <v>0.85687663112569445</v>
      </c>
      <c r="X11" s="2">
        <f t="shared" ca="1" si="22"/>
        <v>0.86230964457666159</v>
      </c>
      <c r="Y11" s="27">
        <f t="shared" ca="1" si="5"/>
        <v>-1.6297904420732301</v>
      </c>
      <c r="Z11" s="11">
        <f t="shared" ca="1" si="6"/>
        <v>-0.45687663112569443</v>
      </c>
      <c r="AA11">
        <f t="shared" ca="1" si="7"/>
        <v>0.68295251522422895</v>
      </c>
      <c r="AB11">
        <f t="shared" ca="1" si="23"/>
        <v>0.68295251522422895</v>
      </c>
      <c r="AC11">
        <f t="shared" ca="1" si="24"/>
        <v>0.68712302157683813</v>
      </c>
      <c r="AD11">
        <f t="shared" ca="1" si="8"/>
        <v>-3.0195508019662411</v>
      </c>
      <c r="AE11" s="11">
        <f t="shared" ca="1" si="9"/>
        <v>-0.28295251522422893</v>
      </c>
      <c r="AF11">
        <f t="shared" ca="1" si="10"/>
        <v>0.79889612354355755</v>
      </c>
      <c r="AG11">
        <f t="shared" ca="1" si="11"/>
        <v>0.21044298589386495</v>
      </c>
      <c r="AH11" s="28">
        <f t="shared" ca="1" si="12"/>
        <v>0</v>
      </c>
      <c r="AI11" s="28">
        <f t="shared" ca="1" si="13"/>
        <v>0</v>
      </c>
      <c r="AJ11" s="12">
        <f t="shared" ca="1" si="31"/>
        <v>-3.6523011439221474E-3</v>
      </c>
      <c r="AK11" s="29">
        <f t="shared" ca="1" si="30"/>
        <v>0.82462568434497008</v>
      </c>
      <c r="AL11" s="12">
        <f t="shared" ca="1" si="25"/>
        <v>8.3342631046923188E-5</v>
      </c>
    </row>
    <row r="12" spans="2:38" ht="15.75" thickBot="1" x14ac:dyDescent="0.3">
      <c r="H12">
        <f t="shared" si="26"/>
        <v>0.57494866529774125</v>
      </c>
      <c r="I12" s="15">
        <f t="shared" si="27"/>
        <v>43628</v>
      </c>
      <c r="J12">
        <f t="shared" si="32"/>
        <v>2.4175222450376452</v>
      </c>
      <c r="K12" s="16">
        <f ca="1">K11+$F$4*($F$5-K11)*(I12-I11)/365.25+SQRT((I12-I11)/365.25)*$F$6*NORMINV(RAND(),0,1)</f>
        <v>6.5829941909566689E-2</v>
      </c>
      <c r="L12" s="11">
        <f t="shared" si="15"/>
        <v>2.2771252971066414</v>
      </c>
      <c r="M12" s="11">
        <f t="shared" si="16"/>
        <v>0.99246586468292686</v>
      </c>
      <c r="N12" s="11">
        <f t="shared" ca="1" si="17"/>
        <v>0.85430612750273804</v>
      </c>
      <c r="O12" s="11">
        <f t="shared" ca="1" si="18"/>
        <v>-1.9453620944096965</v>
      </c>
      <c r="P12">
        <f t="shared" ca="1" si="1"/>
        <v>0.85430612750273804</v>
      </c>
      <c r="Q12" s="26">
        <f t="shared" ca="1" si="19"/>
        <v>0.81398272854457143</v>
      </c>
      <c r="R12">
        <f t="shared" ca="1" si="2"/>
        <v>-1.8535406625767317</v>
      </c>
      <c r="S12" s="11">
        <f t="shared" ca="1" si="28"/>
        <v>0</v>
      </c>
      <c r="T12" s="11">
        <f t="shared" ca="1" si="3"/>
        <v>-0.41398272854457141</v>
      </c>
      <c r="U12" s="11">
        <f t="shared" ca="1" si="20"/>
        <v>0.81398272854457143</v>
      </c>
      <c r="V12" s="2">
        <f t="shared" ca="1" si="4"/>
        <v>0.84325576637988942</v>
      </c>
      <c r="W12" s="2">
        <f t="shared" ca="1" si="21"/>
        <v>0.84325576637988942</v>
      </c>
      <c r="X12" s="2">
        <f t="shared" ca="1" si="22"/>
        <v>0.84913502982035627</v>
      </c>
      <c r="Y12" s="27">
        <f t="shared" ca="1" si="5"/>
        <v>-1.6038833810458781</v>
      </c>
      <c r="Z12" s="11">
        <f t="shared" ca="1" si="6"/>
        <v>-0.44325576637988939</v>
      </c>
      <c r="AA12">
        <f t="shared" ca="1" si="7"/>
        <v>0.65798203091094776</v>
      </c>
      <c r="AB12">
        <f t="shared" ca="1" si="23"/>
        <v>0.65798203091094776</v>
      </c>
      <c r="AC12">
        <f t="shared" ca="1" si="24"/>
        <v>0.66235769357061103</v>
      </c>
      <c r="AD12">
        <f t="shared" ca="1" si="8"/>
        <v>-2.9091483299746144</v>
      </c>
      <c r="AE12" s="11">
        <f t="shared" ca="1" si="9"/>
        <v>-0.25798203091094773</v>
      </c>
      <c r="AF12">
        <f t="shared" ca="1" si="10"/>
        <v>0.8292078826022361</v>
      </c>
      <c r="AG12">
        <f t="shared" ca="1" si="11"/>
        <v>0.17997979506370945</v>
      </c>
      <c r="AH12" s="28">
        <f t="shared" ca="1" si="12"/>
        <v>0</v>
      </c>
      <c r="AI12" s="28">
        <f t="shared" ca="1" si="13"/>
        <v>0</v>
      </c>
      <c r="AJ12" s="12">
        <f t="shared" ca="1" si="31"/>
        <v>-3.5568909054726405E-3</v>
      </c>
      <c r="AK12" s="29">
        <f t="shared" ca="1" si="30"/>
        <v>0.81410090870547702</v>
      </c>
      <c r="AL12" s="12">
        <f t="shared" ca="1" si="25"/>
        <v>1.1818016090558991E-4</v>
      </c>
    </row>
    <row r="13" spans="2:38" x14ac:dyDescent="0.25">
      <c r="E13" s="22" t="s">
        <v>22</v>
      </c>
      <c r="F13" s="23">
        <v>2</v>
      </c>
      <c r="H13">
        <f t="shared" si="26"/>
        <v>0.65708418891170428</v>
      </c>
      <c r="I13" s="15">
        <f t="shared" si="27"/>
        <v>43658</v>
      </c>
      <c r="J13">
        <f t="shared" si="32"/>
        <v>2.3353867214236823</v>
      </c>
      <c r="K13" s="16">
        <f t="shared" ca="1" si="14"/>
        <v>5.4004408279491226E-2</v>
      </c>
      <c r="L13" s="11">
        <f t="shared" si="15"/>
        <v>2.2041917590706039</v>
      </c>
      <c r="M13" s="11">
        <f t="shared" si="16"/>
        <v>0.99293207274500406</v>
      </c>
      <c r="N13" s="11">
        <f t="shared" ca="1" si="17"/>
        <v>0.88150104200997614</v>
      </c>
      <c r="O13" s="11">
        <f t="shared" ca="1" si="18"/>
        <v>-1.9429973324105396</v>
      </c>
      <c r="P13">
        <f t="shared" ca="1" si="1"/>
        <v>0.88150104200997614</v>
      </c>
      <c r="Q13" s="26">
        <f t="shared" ca="1" si="19"/>
        <v>0.84127487489962371</v>
      </c>
      <c r="R13">
        <f t="shared" ca="1" si="2"/>
        <v>-1.8543311463669037</v>
      </c>
      <c r="S13" s="11">
        <f t="shared" ca="1" si="28"/>
        <v>0</v>
      </c>
      <c r="T13" s="11">
        <f t="shared" ca="1" si="3"/>
        <v>-0.44127487489962369</v>
      </c>
      <c r="U13" s="11">
        <f t="shared" ca="1" si="20"/>
        <v>0.84127487489962371</v>
      </c>
      <c r="V13" s="2">
        <f t="shared" ca="1" si="4"/>
        <v>0.86243745489197476</v>
      </c>
      <c r="W13" s="2">
        <f t="shared" ca="1" si="21"/>
        <v>0.86243745489197476</v>
      </c>
      <c r="X13" s="2">
        <f t="shared" ca="1" si="22"/>
        <v>0.8676859189669488</v>
      </c>
      <c r="Y13" s="27">
        <f t="shared" ca="1" si="5"/>
        <v>-1.6403672008447128</v>
      </c>
      <c r="Z13" s="11">
        <f t="shared" ca="1" si="6"/>
        <v>-0.46243745489197474</v>
      </c>
      <c r="AA13">
        <f t="shared" ca="1" si="7"/>
        <v>0.69329949433221727</v>
      </c>
      <c r="AB13">
        <f t="shared" ca="1" si="23"/>
        <v>0.69329949433221727</v>
      </c>
      <c r="AC13">
        <f t="shared" ca="1" si="24"/>
        <v>0.69738111546439008</v>
      </c>
      <c r="AD13">
        <f t="shared" ca="1" si="8"/>
        <v>-3.0652980953241054</v>
      </c>
      <c r="AE13" s="11">
        <f t="shared" ca="1" si="9"/>
        <v>-0.29329949433221725</v>
      </c>
      <c r="AF13">
        <f t="shared" ca="1" si="10"/>
        <v>0.86370511937435734</v>
      </c>
      <c r="AG13">
        <f t="shared" ca="1" si="11"/>
        <v>0.14273900408282419</v>
      </c>
      <c r="AH13" s="28">
        <f t="shared" ca="1" si="12"/>
        <v>0</v>
      </c>
      <c r="AI13" s="28">
        <f t="shared" ca="1" si="13"/>
        <v>0</v>
      </c>
      <c r="AJ13" s="12">
        <f t="shared" ca="1" si="31"/>
        <v>-2.4087490587269551E-3</v>
      </c>
      <c r="AK13" s="29">
        <f t="shared" ca="1" si="30"/>
        <v>0.84144377522376934</v>
      </c>
      <c r="AL13" s="12">
        <f t="shared" ca="1" si="25"/>
        <v>1.6890032414562661E-4</v>
      </c>
    </row>
    <row r="14" spans="2:38" ht="15.75" thickBot="1" x14ac:dyDescent="0.3">
      <c r="E14" s="24" t="s">
        <v>23</v>
      </c>
      <c r="F14" s="25">
        <v>5</v>
      </c>
      <c r="H14">
        <f t="shared" si="26"/>
        <v>0.73921971252566732</v>
      </c>
      <c r="I14" s="15">
        <f t="shared" si="27"/>
        <v>43688</v>
      </c>
      <c r="J14">
        <f t="shared" si="32"/>
        <v>2.2532511978097194</v>
      </c>
      <c r="K14" s="16">
        <f t="shared" ca="1" si="14"/>
        <v>5.8122650557989541E-2</v>
      </c>
      <c r="L14" s="11">
        <f t="shared" si="15"/>
        <v>2.1309580834406572</v>
      </c>
      <c r="M14" s="11">
        <f t="shared" si="16"/>
        <v>0.99338586788235805</v>
      </c>
      <c r="N14" s="11">
        <f t="shared" ca="1" si="17"/>
        <v>0.8776626063241364</v>
      </c>
      <c r="O14" s="11">
        <f t="shared" ca="1" si="18"/>
        <v>-1.8702622254800136</v>
      </c>
      <c r="P14">
        <f t="shared" ca="1" si="1"/>
        <v>0.8776626063241364</v>
      </c>
      <c r="Q14" s="26">
        <f t="shared" ca="1" si="19"/>
        <v>0.83898868540771343</v>
      </c>
      <c r="R14">
        <f t="shared" ca="1" si="2"/>
        <v>-1.7878497210848174</v>
      </c>
      <c r="S14" s="11">
        <f t="shared" ca="1" si="28"/>
        <v>0</v>
      </c>
      <c r="T14" s="11">
        <f t="shared" ca="1" si="3"/>
        <v>-0.43898868540771341</v>
      </c>
      <c r="U14" s="11">
        <f t="shared" ca="1" si="20"/>
        <v>0.83898868540771343</v>
      </c>
      <c r="V14" s="2">
        <f t="shared" ca="1" si="4"/>
        <v>0.85570841385959895</v>
      </c>
      <c r="W14" s="2">
        <f t="shared" ca="1" si="21"/>
        <v>0.85570841385959895</v>
      </c>
      <c r="X14" s="2">
        <f t="shared" ca="1" si="22"/>
        <v>0.86118002405679839</v>
      </c>
      <c r="Y14" s="32">
        <f t="shared" ca="1" si="5"/>
        <v>-1.6275684777140831</v>
      </c>
      <c r="Z14" s="11">
        <f t="shared" ca="1" si="6"/>
        <v>-0.45570841385959893</v>
      </c>
      <c r="AA14">
        <f t="shared" ca="1" si="7"/>
        <v>0.68079008576896904</v>
      </c>
      <c r="AB14">
        <f t="shared" ca="1" si="23"/>
        <v>0.68079008576896904</v>
      </c>
      <c r="AC14">
        <f t="shared" ca="1" si="24"/>
        <v>0.68497888478287583</v>
      </c>
      <c r="AD14">
        <f t="shared" ca="1" si="8"/>
        <v>-3.0099900119401855</v>
      </c>
      <c r="AE14" s="11">
        <f t="shared" ca="1" si="9"/>
        <v>-0.28079008576896902</v>
      </c>
      <c r="AF14">
        <f t="shared" ca="1" si="10"/>
        <v>0.89577517550139329</v>
      </c>
      <c r="AG14">
        <f t="shared" ca="1" si="11"/>
        <v>0.10960643756664575</v>
      </c>
      <c r="AH14" s="28">
        <f t="shared" ca="1" si="12"/>
        <v>0</v>
      </c>
      <c r="AI14" s="28">
        <f t="shared" ca="1" si="13"/>
        <v>0</v>
      </c>
      <c r="AJ14" s="12">
        <f t="shared" ca="1" si="31"/>
        <v>-1.9752405102818242E-3</v>
      </c>
      <c r="AK14" s="29">
        <f t="shared" ca="1" si="30"/>
        <v>0.83916609012464716</v>
      </c>
      <c r="AL14" s="12">
        <f t="shared" ca="1" si="25"/>
        <v>1.7740471693372672E-4</v>
      </c>
    </row>
    <row r="15" spans="2:38" ht="15.75" thickBot="1" x14ac:dyDescent="0.3">
      <c r="H15">
        <f t="shared" si="26"/>
        <v>0.82135523613963035</v>
      </c>
      <c r="I15" s="15">
        <f t="shared" si="27"/>
        <v>43718</v>
      </c>
      <c r="J15">
        <f t="shared" si="32"/>
        <v>2.1711156741957565</v>
      </c>
      <c r="K15" s="16">
        <f t="shared" ca="1" si="14"/>
        <v>5.4380349508876269E-2</v>
      </c>
      <c r="L15" s="11">
        <f t="shared" si="15"/>
        <v>2.0574230350844114</v>
      </c>
      <c r="M15" s="11">
        <f t="shared" si="16"/>
        <v>0.99382700539673141</v>
      </c>
      <c r="N15" s="11">
        <f t="shared" ca="1" si="17"/>
        <v>0.88862894967020389</v>
      </c>
      <c r="O15" s="11">
        <f t="shared" ca="1" si="18"/>
        <v>-1.8282856706943436</v>
      </c>
      <c r="P15">
        <f t="shared" ca="1" si="1"/>
        <v>0.88862894967020389</v>
      </c>
      <c r="Q15" s="26">
        <f t="shared" ca="1" si="19"/>
        <v>0.85086838335475456</v>
      </c>
      <c r="R15">
        <f t="shared" ca="1" si="2"/>
        <v>-1.7505962117391054</v>
      </c>
      <c r="S15" s="11">
        <f t="shared" ca="1" si="28"/>
        <v>0</v>
      </c>
      <c r="T15" s="11">
        <f t="shared" ca="1" si="3"/>
        <v>-0.45086838335475454</v>
      </c>
      <c r="U15" s="11">
        <f t="shared" ca="1" si="20"/>
        <v>0.85086838335475456</v>
      </c>
      <c r="V15" s="2">
        <f t="shared" ca="1" si="4"/>
        <v>0.86182099365490061</v>
      </c>
      <c r="W15" s="2">
        <f t="shared" ca="1" si="21"/>
        <v>0.86182099365490061</v>
      </c>
      <c r="X15" s="2">
        <f t="shared" ca="1" si="22"/>
        <v>0.86708998354154798</v>
      </c>
      <c r="Y15" s="27">
        <f t="shared" ca="1" si="5"/>
        <v>-1.6391946835935747</v>
      </c>
      <c r="Z15" s="11">
        <f t="shared" ca="1" si="6"/>
        <v>-0.46182099365490059</v>
      </c>
      <c r="AA15">
        <f t="shared" ca="1" si="7"/>
        <v>0.6921480795784074</v>
      </c>
      <c r="AB15">
        <f t="shared" ca="1" si="23"/>
        <v>0.6921480795784074</v>
      </c>
      <c r="AC15">
        <f t="shared" ca="1" si="24"/>
        <v>0.69623970226152565</v>
      </c>
      <c r="AD15">
        <f t="shared" ca="1" si="8"/>
        <v>-3.0602073236148586</v>
      </c>
      <c r="AE15" s="11">
        <f t="shared" ca="1" si="9"/>
        <v>-0.29214807957840738</v>
      </c>
      <c r="AF15">
        <f t="shared" ca="1" si="10"/>
        <v>0.92929753215148214</v>
      </c>
      <c r="AG15">
        <f t="shared" ca="1" si="11"/>
        <v>7.4274914580386542E-2</v>
      </c>
      <c r="AH15" s="28">
        <f t="shared" ca="1" si="12"/>
        <v>0</v>
      </c>
      <c r="AI15" s="28">
        <f t="shared" ca="1" si="13"/>
        <v>0</v>
      </c>
      <c r="AJ15" s="12">
        <f t="shared" ca="1" si="31"/>
        <v>-1.2458143328281691E-3</v>
      </c>
      <c r="AK15" s="29">
        <f t="shared" ca="1" si="30"/>
        <v>0.85105154771467395</v>
      </c>
      <c r="AL15" s="12">
        <f t="shared" ca="1" si="25"/>
        <v>1.8316435991938551E-4</v>
      </c>
    </row>
    <row r="16" spans="2:38" ht="15.75" thickBot="1" x14ac:dyDescent="0.3">
      <c r="E16" s="13" t="s">
        <v>24</v>
      </c>
      <c r="F16" s="21">
        <v>0.4</v>
      </c>
      <c r="H16">
        <f t="shared" si="26"/>
        <v>0.90349075975359339</v>
      </c>
      <c r="I16" s="15">
        <f t="shared" si="27"/>
        <v>43748</v>
      </c>
      <c r="J16">
        <f t="shared" si="32"/>
        <v>2.0889801505817931</v>
      </c>
      <c r="K16" s="16">
        <f t="shared" ca="1" si="14"/>
        <v>5.8265970163499499E-2</v>
      </c>
      <c r="L16" s="11">
        <f t="shared" si="15"/>
        <v>1.9835853737866316</v>
      </c>
      <c r="M16" s="11">
        <f t="shared" si="16"/>
        <v>0.99425523827961859</v>
      </c>
      <c r="N16" s="11">
        <f t="shared" ca="1" si="17"/>
        <v>0.88573554706629964</v>
      </c>
      <c r="O16" s="11">
        <f t="shared" ca="1" si="18"/>
        <v>-1.7569320762036127</v>
      </c>
      <c r="P16">
        <f t="shared" ca="1" si="1"/>
        <v>0.88573554706629964</v>
      </c>
      <c r="Q16" s="26">
        <f t="shared" ca="1" si="19"/>
        <v>0.84949225456480071</v>
      </c>
      <c r="R16">
        <f t="shared" ca="1" si="2"/>
        <v>-1.6850404112997686</v>
      </c>
      <c r="S16" s="11">
        <f t="shared" ca="1" si="28"/>
        <v>0</v>
      </c>
      <c r="T16" s="11">
        <f t="shared" ca="1" si="3"/>
        <v>-0.44949225456480069</v>
      </c>
      <c r="U16" s="11">
        <f t="shared" ca="1" si="20"/>
        <v>0.84949225456480071</v>
      </c>
      <c r="V16" s="2">
        <f t="shared" ca="1" si="4"/>
        <v>0.85547518317772253</v>
      </c>
      <c r="W16" s="2">
        <f t="shared" ca="1" si="21"/>
        <v>0.85547518317772253</v>
      </c>
      <c r="X16" s="2">
        <f t="shared" ca="1" si="22"/>
        <v>0.86095449185769646</v>
      </c>
      <c r="Y16" s="27">
        <f t="shared" ca="1" si="5"/>
        <v>-1.6271248699386893</v>
      </c>
      <c r="Z16" s="11">
        <f t="shared" ca="1" si="6"/>
        <v>-0.45547518317772251</v>
      </c>
      <c r="AA16">
        <f t="shared" ca="1" si="7"/>
        <v>0.68035883183684187</v>
      </c>
      <c r="AB16">
        <f t="shared" ca="1" si="23"/>
        <v>0.68035883183684187</v>
      </c>
      <c r="AC16">
        <f t="shared" ca="1" si="24"/>
        <v>0.68455126716028136</v>
      </c>
      <c r="AD16">
        <f t="shared" ca="1" si="8"/>
        <v>-3.0080833008181411</v>
      </c>
      <c r="AE16" s="11">
        <f t="shared" ca="1" si="9"/>
        <v>-0.28035883183684185</v>
      </c>
      <c r="AF16">
        <f t="shared" ca="1" si="10"/>
        <v>0.96254161841403563</v>
      </c>
      <c r="AG16">
        <f t="shared" ca="1" si="11"/>
        <v>3.9515197466415346E-2</v>
      </c>
      <c r="AH16" s="28">
        <f t="shared" ca="1" si="12"/>
        <v>0</v>
      </c>
      <c r="AI16" s="28">
        <f t="shared" ca="1" si="13"/>
        <v>0</v>
      </c>
      <c r="AJ16" s="12">
        <f t="shared" ca="1" si="31"/>
        <v>-6.3497197157885384E-4</v>
      </c>
      <c r="AK16" s="29">
        <f t="shared" ca="1" si="30"/>
        <v>0.8496800089454023</v>
      </c>
      <c r="AL16" s="12">
        <f t="shared" ca="1" si="25"/>
        <v>1.8775438060159022E-4</v>
      </c>
    </row>
    <row r="17" spans="5:38" ht="15.75" thickBot="1" x14ac:dyDescent="0.3">
      <c r="H17">
        <f t="shared" si="26"/>
        <v>0.98562628336755642</v>
      </c>
      <c r="I17" s="15">
        <f t="shared" si="27"/>
        <v>43778</v>
      </c>
      <c r="J17">
        <f t="shared" si="32"/>
        <v>2.0068446269678302</v>
      </c>
      <c r="K17" s="16">
        <f t="shared" ca="1" si="14"/>
        <v>5.4668443333102883E-2</v>
      </c>
      <c r="L17" s="11">
        <f t="shared" si="15"/>
        <v>1.9094438542283276</v>
      </c>
      <c r="M17" s="11">
        <f t="shared" si="16"/>
        <v>0.99467031721589572</v>
      </c>
      <c r="N17" s="11">
        <f t="shared" ca="1" si="17"/>
        <v>0.89607581076941045</v>
      </c>
      <c r="O17" s="11">
        <f t="shared" ca="1" si="18"/>
        <v>-1.7110064497963167</v>
      </c>
      <c r="P17">
        <f t="shared" ca="1" si="1"/>
        <v>0.89607581076941045</v>
      </c>
      <c r="Q17" s="26">
        <f t="shared" ca="1" si="19"/>
        <v>0.86082232744667908</v>
      </c>
      <c r="R17">
        <f t="shared" ca="1" si="2"/>
        <v>-1.6436919027255865</v>
      </c>
      <c r="S17" s="11">
        <f t="shared" ca="1" si="28"/>
        <v>0</v>
      </c>
      <c r="T17" s="11">
        <f t="shared" ca="1" si="3"/>
        <v>-0.46082232744667906</v>
      </c>
      <c r="U17" s="11">
        <f t="shared" ca="1" si="20"/>
        <v>0.86082232744667908</v>
      </c>
      <c r="V17" s="2">
        <f t="shared" ca="1" si="4"/>
        <v>0.86134888115061992</v>
      </c>
      <c r="W17" s="2">
        <f t="shared" ca="1" si="21"/>
        <v>0.86134888115061992</v>
      </c>
      <c r="X17" s="2">
        <f t="shared" ca="1" si="22"/>
        <v>0.86663357929981399</v>
      </c>
      <c r="Y17" s="27">
        <f t="shared" ca="1" si="5"/>
        <v>-1.6382967195003666</v>
      </c>
      <c r="Z17" s="11">
        <f t="shared" ca="1" si="6"/>
        <v>-0.46134888115061989</v>
      </c>
      <c r="AA17">
        <f t="shared" ca="1" si="7"/>
        <v>0.6912670139974324</v>
      </c>
      <c r="AB17">
        <f t="shared" ca="1" si="23"/>
        <v>0.6912670139974324</v>
      </c>
      <c r="AC17">
        <f t="shared" ca="1" si="24"/>
        <v>0.6953662713010389</v>
      </c>
      <c r="AD17">
        <f t="shared" ca="1" si="8"/>
        <v>-3.0563118517887622</v>
      </c>
      <c r="AE17" s="11">
        <f t="shared" ca="1" si="9"/>
        <v>-0.29126701399743238</v>
      </c>
      <c r="AF17">
        <f t="shared" ca="1" si="10"/>
        <v>0.99659026552318075</v>
      </c>
      <c r="AG17">
        <f t="shared" ca="1" si="11"/>
        <v>3.5930037788955049E-3</v>
      </c>
      <c r="AH17" s="28">
        <f t="shared" ca="1" si="12"/>
        <v>0</v>
      </c>
      <c r="AI17" s="28">
        <f t="shared" ca="1" si="13"/>
        <v>0</v>
      </c>
      <c r="AJ17" s="12">
        <f t="shared" ca="1" si="31"/>
        <v>1.1677244173671233E-4</v>
      </c>
      <c r="AK17" s="29">
        <f t="shared" ca="1" si="30"/>
        <v>0.86101240760924624</v>
      </c>
      <c r="AL17" s="12">
        <f t="shared" ca="1" si="25"/>
        <v>1.9008016256716331E-4</v>
      </c>
    </row>
    <row r="18" spans="5:38" ht="15.75" thickBot="1" x14ac:dyDescent="0.3">
      <c r="E18" s="30" t="s">
        <v>32</v>
      </c>
      <c r="F18" s="31">
        <v>1</v>
      </c>
      <c r="H18">
        <f t="shared" si="26"/>
        <v>1.0677618069815196</v>
      </c>
      <c r="I18" s="15">
        <f t="shared" si="27"/>
        <v>43808</v>
      </c>
      <c r="J18">
        <f t="shared" si="32"/>
        <v>1.9247091033538672</v>
      </c>
      <c r="K18" s="16">
        <f t="shared" ca="1" si="14"/>
        <v>6.6558902266898617E-2</v>
      </c>
      <c r="L18" s="11">
        <f t="shared" si="15"/>
        <v>1.8349972259657377</v>
      </c>
      <c r="M18" s="11">
        <f t="shared" si="16"/>
        <v>0.99507199058825802</v>
      </c>
      <c r="N18" s="11">
        <f t="shared" ca="1" si="17"/>
        <v>0.88066709771263996</v>
      </c>
      <c r="O18" s="11">
        <f t="shared" ca="1" si="18"/>
        <v>-1.6160216813019916</v>
      </c>
      <c r="P18">
        <f t="shared" ca="1" si="1"/>
        <v>0.88066709771263973</v>
      </c>
      <c r="Q18" s="26">
        <f t="shared" ca="1" si="19"/>
        <v>0.84741073290476099</v>
      </c>
      <c r="R18">
        <f t="shared" ca="1" si="2"/>
        <v>-1.554996344133831</v>
      </c>
      <c r="S18" s="11">
        <f t="shared" ca="1" si="28"/>
        <v>0</v>
      </c>
      <c r="T18" s="11">
        <f t="shared" ca="1" si="3"/>
        <v>-0.44741073290476097</v>
      </c>
      <c r="U18" s="11">
        <f t="shared" ca="1" si="20"/>
        <v>0.84741073290476099</v>
      </c>
      <c r="V18" s="2">
        <f t="shared" ca="1" si="4"/>
        <v>0.84208740912350477</v>
      </c>
      <c r="W18" s="2">
        <f t="shared" ca="1" si="21"/>
        <v>0.84208740912350477</v>
      </c>
      <c r="X18" s="2">
        <f t="shared" ca="1" si="22"/>
        <v>0.84800456436907834</v>
      </c>
      <c r="Y18" s="27">
        <f t="shared" ca="1" si="5"/>
        <v>-1.6016611504233891</v>
      </c>
      <c r="Z18" s="11">
        <f t="shared" ca="1" si="6"/>
        <v>-0.44208740912350475</v>
      </c>
      <c r="AA18">
        <f t="shared" ca="1" si="7"/>
        <v>0.65586479083407412</v>
      </c>
      <c r="AB18">
        <f t="shared" ca="1" si="23"/>
        <v>0.65586479083407412</v>
      </c>
      <c r="AC18">
        <f t="shared" ca="1" si="24"/>
        <v>0.66025722895100825</v>
      </c>
      <c r="AD18">
        <f t="shared" ca="1" si="8"/>
        <v>-2.8997873365972349</v>
      </c>
      <c r="AE18" s="11">
        <f t="shared" ca="1" si="9"/>
        <v>-0.2558647908340741</v>
      </c>
      <c r="AF18">
        <f t="shared" ca="1" si="10"/>
        <v>1.0313895126417361</v>
      </c>
      <c r="AG18">
        <f t="shared" ca="1" si="11"/>
        <v>-3.3430096060873653E-2</v>
      </c>
      <c r="AH18" s="28">
        <f t="shared" ca="1" si="12"/>
        <v>0</v>
      </c>
      <c r="AI18" s="28">
        <f t="shared" ca="1" si="13"/>
        <v>0</v>
      </c>
      <c r="AJ18" s="12">
        <f t="shared" ca="1" si="31"/>
        <v>1.007865573698213E-3</v>
      </c>
      <c r="AK18" s="29">
        <f t="shared" ca="1" si="30"/>
        <v>0.84760236511080411</v>
      </c>
      <c r="AL18" s="12">
        <f t="shared" ca="1" si="25"/>
        <v>1.9163220604312414E-4</v>
      </c>
    </row>
    <row r="19" spans="5:38" x14ac:dyDescent="0.25">
      <c r="H19">
        <f t="shared" si="26"/>
        <v>1.1498973305954825</v>
      </c>
      <c r="I19" s="15">
        <f t="shared" si="27"/>
        <v>43838</v>
      </c>
      <c r="J19">
        <f t="shared" si="32"/>
        <v>1.8425735797399041</v>
      </c>
      <c r="K19" s="16">
        <f t="shared" ca="1" si="14"/>
        <v>6.4860079113954569E-2</v>
      </c>
      <c r="L19" s="11">
        <f t="shared" si="15"/>
        <v>1.7602442334092605</v>
      </c>
      <c r="M19" s="11">
        <f t="shared" si="16"/>
        <v>0.9954600044824865</v>
      </c>
      <c r="N19" s="11">
        <f t="shared" ca="1" si="17"/>
        <v>0.88805649915918961</v>
      </c>
      <c r="O19" s="11">
        <f t="shared" ca="1" si="18"/>
        <v>-1.5631963315865793</v>
      </c>
      <c r="P19">
        <f t="shared" ca="1" si="1"/>
        <v>0.88805649915918961</v>
      </c>
      <c r="Q19" s="26">
        <f t="shared" ca="1" si="19"/>
        <v>0.85592597496067946</v>
      </c>
      <c r="R19">
        <f t="shared" ca="1" si="2"/>
        <v>-1.5066387616497352</v>
      </c>
      <c r="S19" s="11">
        <f t="shared" ca="1" si="28"/>
        <v>0</v>
      </c>
      <c r="T19" s="11">
        <f t="shared" ca="1" si="3"/>
        <v>-0.45592597496067944</v>
      </c>
      <c r="U19" s="11">
        <f t="shared" ca="1" si="20"/>
        <v>0.85592597496067946</v>
      </c>
      <c r="V19" s="2">
        <f t="shared" ca="1" si="4"/>
        <v>0.84481274883436597</v>
      </c>
      <c r="W19" s="2">
        <f t="shared" ca="1" si="21"/>
        <v>0.84481274883436597</v>
      </c>
      <c r="X19" s="2">
        <f t="shared" ca="1" si="22"/>
        <v>0.85064142138899657</v>
      </c>
      <c r="Y19" s="27">
        <f t="shared" ca="1" si="5"/>
        <v>-1.6068447818247136</v>
      </c>
      <c r="Z19" s="11">
        <f t="shared" ca="1" si="6"/>
        <v>-0.44481274883436595</v>
      </c>
      <c r="AA19">
        <f t="shared" ca="1" si="7"/>
        <v>0.66080956364333598</v>
      </c>
      <c r="AB19">
        <f t="shared" ca="1" si="23"/>
        <v>0.66080956364333598</v>
      </c>
      <c r="AC19">
        <f t="shared" ca="1" si="24"/>
        <v>0.6651626702301936</v>
      </c>
      <c r="AD19">
        <f t="shared" ca="1" si="8"/>
        <v>-2.9216497536304975</v>
      </c>
      <c r="AE19" s="11">
        <f t="shared" ca="1" si="9"/>
        <v>-0.26080956364333596</v>
      </c>
      <c r="AF19">
        <f t="shared" ca="1" si="10"/>
        <v>1.0665567352441372</v>
      </c>
      <c r="AG19">
        <f t="shared" ca="1" si="11"/>
        <v>-7.0902531229110485E-2</v>
      </c>
      <c r="AH19" s="28">
        <f t="shared" ca="1" si="12"/>
        <v>0</v>
      </c>
      <c r="AI19" s="28">
        <f t="shared" ca="1" si="13"/>
        <v>0</v>
      </c>
      <c r="AJ19" s="12">
        <f t="shared" ca="1" si="31"/>
        <v>1.9280550763152561E-3</v>
      </c>
      <c r="AK19" s="29">
        <f t="shared" ca="1" si="30"/>
        <v>0.85611571164300537</v>
      </c>
      <c r="AL19" s="12">
        <f t="shared" ca="1" si="25"/>
        <v>1.897366823259139E-4</v>
      </c>
    </row>
    <row r="20" spans="5:38" x14ac:dyDescent="0.25">
      <c r="H20">
        <f t="shared" si="26"/>
        <v>1.2320328542094456</v>
      </c>
      <c r="I20" s="15">
        <f t="shared" si="27"/>
        <v>43868</v>
      </c>
      <c r="J20">
        <f t="shared" si="32"/>
        <v>1.7604380561259412</v>
      </c>
      <c r="K20" s="16">
        <f t="shared" ca="1" si="14"/>
        <v>6.4049528890584656E-2</v>
      </c>
      <c r="L20" s="11">
        <f t="shared" si="15"/>
        <v>1.6851836158022593</v>
      </c>
      <c r="M20" s="11">
        <f t="shared" si="16"/>
        <v>0.99583410269356876</v>
      </c>
      <c r="N20" s="11">
        <f t="shared" ca="1" si="17"/>
        <v>0.89394608295798916</v>
      </c>
      <c r="O20" s="11">
        <f t="shared" ca="1" si="18"/>
        <v>-1.5064632924114105</v>
      </c>
      <c r="P20">
        <f t="shared" ca="1" si="1"/>
        <v>0.89394608295798916</v>
      </c>
      <c r="Q20" s="26">
        <f t="shared" ca="1" si="19"/>
        <v>0.86301899592511266</v>
      </c>
      <c r="R20">
        <f t="shared" ca="1" si="2"/>
        <v>-1.4543454720591165</v>
      </c>
      <c r="S20" s="11">
        <f t="shared" ca="1" si="28"/>
        <v>0</v>
      </c>
      <c r="T20" s="11">
        <f t="shared" ca="1" si="3"/>
        <v>-0.46301899592511264</v>
      </c>
      <c r="U20" s="11">
        <f t="shared" ca="1" si="20"/>
        <v>0.86301899592511266</v>
      </c>
      <c r="V20" s="2">
        <f t="shared" ca="1" si="4"/>
        <v>0.84611618170928349</v>
      </c>
      <c r="W20" s="2">
        <f t="shared" ca="1" si="21"/>
        <v>0.84611618170928349</v>
      </c>
      <c r="X20" s="2">
        <f t="shared" ca="1" si="22"/>
        <v>0.85190241833809455</v>
      </c>
      <c r="Y20" s="27">
        <f t="shared" ca="1" si="5"/>
        <v>-1.6093239280217966</v>
      </c>
      <c r="Z20" s="11">
        <f t="shared" ca="1" si="6"/>
        <v>-0.44611618170928347</v>
      </c>
      <c r="AA20">
        <f t="shared" ca="1" si="7"/>
        <v>0.66318195593697205</v>
      </c>
      <c r="AB20">
        <f t="shared" ca="1" si="23"/>
        <v>0.66318195593697205</v>
      </c>
      <c r="AC20">
        <f t="shared" ca="1" si="24"/>
        <v>0.667516002947244</v>
      </c>
      <c r="AD20">
        <f t="shared" ca="1" si="8"/>
        <v>-2.9321388563032875</v>
      </c>
      <c r="AE20" s="11">
        <f t="shared" ca="1" si="9"/>
        <v>-0.26318195593697202</v>
      </c>
      <c r="AF20">
        <f t="shared" ca="1" si="10"/>
        <v>1.1021434832727626</v>
      </c>
      <c r="AG20">
        <f t="shared" ca="1" si="11"/>
        <v>-0.10891721822740237</v>
      </c>
      <c r="AH20" s="28">
        <f t="shared" ca="1" si="12"/>
        <v>0</v>
      </c>
      <c r="AI20" s="28">
        <f t="shared" ca="1" si="13"/>
        <v>0</v>
      </c>
      <c r="AJ20" s="12">
        <f t="shared" ca="1" si="31"/>
        <v>2.8954107765399549E-3</v>
      </c>
      <c r="AK20" s="29">
        <f t="shared" ca="1" si="30"/>
        <v>0.86320491271979671</v>
      </c>
      <c r="AL20" s="12">
        <f t="shared" ca="1" si="25"/>
        <v>1.8591679468404898E-4</v>
      </c>
    </row>
    <row r="21" spans="5:38" x14ac:dyDescent="0.25">
      <c r="H21">
        <f t="shared" si="26"/>
        <v>1.3141683778234086</v>
      </c>
      <c r="I21" s="15">
        <f t="shared" si="27"/>
        <v>43898</v>
      </c>
      <c r="J21">
        <f t="shared" si="32"/>
        <v>1.678302532511978</v>
      </c>
      <c r="K21" s="16">
        <f t="shared" ca="1" si="14"/>
        <v>6.9554377316930219E-2</v>
      </c>
      <c r="L21" s="11">
        <f t="shared" si="15"/>
        <v>1.6098141071998051</v>
      </c>
      <c r="M21" s="11">
        <f t="shared" si="16"/>
        <v>0.99619402673269364</v>
      </c>
      <c r="N21" s="11">
        <f t="shared" ca="1" si="17"/>
        <v>0.89066860899740574</v>
      </c>
      <c r="O21" s="11">
        <f t="shared" ca="1" si="18"/>
        <v>-1.4338108916040511</v>
      </c>
      <c r="P21">
        <f t="shared" ca="1" si="1"/>
        <v>0.89066860899740574</v>
      </c>
      <c r="Q21" s="26">
        <f t="shared" ca="1" si="19"/>
        <v>0.86126856338317648</v>
      </c>
      <c r="R21">
        <f t="shared" ca="1" si="2"/>
        <v>-1.3864822834219468</v>
      </c>
      <c r="S21" s="11">
        <f t="shared" ca="1" si="28"/>
        <v>0</v>
      </c>
      <c r="T21" s="11">
        <f t="shared" ca="1" si="3"/>
        <v>-0.46126856338317646</v>
      </c>
      <c r="U21" s="11">
        <f t="shared" ca="1" si="20"/>
        <v>0.86126856338317648</v>
      </c>
      <c r="V21" s="2">
        <f t="shared" ca="1" si="4"/>
        <v>0.83730331457749463</v>
      </c>
      <c r="W21" s="2">
        <f t="shared" ca="1" si="21"/>
        <v>0.83730331457749463</v>
      </c>
      <c r="X21" s="2">
        <f t="shared" ca="1" si="22"/>
        <v>0.8433749845212849</v>
      </c>
      <c r="Y21" s="27">
        <f t="shared" ca="1" si="5"/>
        <v>-1.5925617406812669</v>
      </c>
      <c r="Z21" s="11">
        <f t="shared" ca="1" si="6"/>
        <v>-0.43730331457749461</v>
      </c>
      <c r="AA21">
        <f t="shared" ca="1" si="7"/>
        <v>0.64723581719347312</v>
      </c>
      <c r="AB21">
        <f t="shared" ca="1" si="23"/>
        <v>0.64723581719347312</v>
      </c>
      <c r="AC21">
        <f t="shared" ca="1" si="24"/>
        <v>0.65169560458323794</v>
      </c>
      <c r="AD21">
        <f t="shared" ca="1" si="8"/>
        <v>-2.8616358931281858</v>
      </c>
      <c r="AE21" s="11">
        <f t="shared" ca="1" si="9"/>
        <v>-0.2472358171934731</v>
      </c>
      <c r="AF21">
        <f t="shared" ca="1" si="10"/>
        <v>1.1393668866302629</v>
      </c>
      <c r="AG21">
        <f t="shared" ca="1" si="11"/>
        <v>-0.14957522368670084</v>
      </c>
      <c r="AH21" s="28">
        <f t="shared" ca="1" si="12"/>
        <v>0</v>
      </c>
      <c r="AI21" s="28">
        <f t="shared" ca="1" si="13"/>
        <v>0</v>
      </c>
      <c r="AJ21" s="12">
        <f t="shared" ca="1" si="31"/>
        <v>4.2543132094822094E-3</v>
      </c>
      <c r="AK21" s="29">
        <f t="shared" ca="1" si="30"/>
        <v>0.86143954177008353</v>
      </c>
      <c r="AL21" s="12">
        <f t="shared" ca="1" si="25"/>
        <v>1.7097838690705025E-4</v>
      </c>
    </row>
    <row r="22" spans="5:38" x14ac:dyDescent="0.25">
      <c r="H22">
        <f t="shared" si="26"/>
        <v>1.3963039014373717</v>
      </c>
      <c r="I22" s="15">
        <f t="shared" si="27"/>
        <v>43928</v>
      </c>
      <c r="J22">
        <f t="shared" si="32"/>
        <v>1.5961670088980151</v>
      </c>
      <c r="K22" s="16">
        <f t="shared" ca="1" si="14"/>
        <v>7.0797511396360965E-2</v>
      </c>
      <c r="L22" s="11">
        <f t="shared" si="15"/>
        <v>1.5341344364473275</v>
      </c>
      <c r="M22" s="11">
        <f t="shared" si="16"/>
        <v>0.99653951583514599</v>
      </c>
      <c r="N22" s="11">
        <f t="shared" ca="1" si="17"/>
        <v>0.89397328595507453</v>
      </c>
      <c r="O22" s="11">
        <f t="shared" ca="1" si="18"/>
        <v>-1.3714752032476538</v>
      </c>
      <c r="P22">
        <f t="shared" ca="1" si="1"/>
        <v>0.89397328595507453</v>
      </c>
      <c r="Q22" s="26">
        <f t="shared" ca="1" si="19"/>
        <v>0.86588538772596668</v>
      </c>
      <c r="R22">
        <f t="shared" ca="1" si="2"/>
        <v>-1.3283845913269514</v>
      </c>
      <c r="S22" s="11">
        <f t="shared" ca="1" si="28"/>
        <v>0</v>
      </c>
      <c r="T22" s="11">
        <f t="shared" ca="1" si="3"/>
        <v>-0.46588538772596666</v>
      </c>
      <c r="U22" s="11">
        <f t="shared" ca="1" si="20"/>
        <v>0.86588538772596668</v>
      </c>
      <c r="V22" s="2">
        <f t="shared" ca="1" si="4"/>
        <v>0.83532588549843723</v>
      </c>
      <c r="W22" s="2">
        <f t="shared" ca="1" si="21"/>
        <v>0.83532588549843723</v>
      </c>
      <c r="X22" s="2">
        <f t="shared" ca="1" si="22"/>
        <v>0.84146111940023993</v>
      </c>
      <c r="Y22" s="27">
        <f t="shared" ca="1" si="5"/>
        <v>-1.588800644981071</v>
      </c>
      <c r="Z22" s="11">
        <f t="shared" ca="1" si="6"/>
        <v>-0.4353258854984372</v>
      </c>
      <c r="AA22">
        <f t="shared" ca="1" si="7"/>
        <v>0.64368817845212478</v>
      </c>
      <c r="AB22">
        <f t="shared" ca="1" si="23"/>
        <v>0.64368817845212478</v>
      </c>
      <c r="AC22">
        <f t="shared" ca="1" si="24"/>
        <v>0.64817517632305754</v>
      </c>
      <c r="AD22">
        <f t="shared" ca="1" si="8"/>
        <v>-2.8459506512296211</v>
      </c>
      <c r="AE22" s="11">
        <f t="shared" ca="1" si="9"/>
        <v>-0.24368817845212476</v>
      </c>
      <c r="AF22">
        <f t="shared" ca="1" si="10"/>
        <v>1.1766154382012752</v>
      </c>
      <c r="AG22">
        <f t="shared" ca="1" si="11"/>
        <v>-0.19010265534582124</v>
      </c>
      <c r="AH22" s="28">
        <f t="shared" ca="1" si="12"/>
        <v>0</v>
      </c>
      <c r="AI22" s="28">
        <f t="shared" ca="1" si="13"/>
        <v>0</v>
      </c>
      <c r="AJ22" s="12">
        <f t="shared" ca="1" si="31"/>
        <v>5.5527955342463148E-3</v>
      </c>
      <c r="AK22" s="29">
        <f t="shared" ca="1" si="30"/>
        <v>0.86604329640239464</v>
      </c>
      <c r="AL22" s="12">
        <f t="shared" ca="1" si="25"/>
        <v>1.5790867642795359E-4</v>
      </c>
    </row>
    <row r="23" spans="5:38" x14ac:dyDescent="0.25">
      <c r="H23">
        <f t="shared" si="26"/>
        <v>1.4784394250513346</v>
      </c>
      <c r="I23" s="15">
        <f t="shared" si="27"/>
        <v>43958</v>
      </c>
      <c r="J23">
        <f t="shared" si="32"/>
        <v>1.514031485284052</v>
      </c>
      <c r="K23" s="16">
        <f t="shared" ca="1" si="14"/>
        <v>6.6550889232731128E-2</v>
      </c>
      <c r="L23" s="11">
        <f t="shared" si="15"/>
        <v>1.4581433271591804</v>
      </c>
      <c r="M23" s="11">
        <f t="shared" si="16"/>
        <v>0.99687030696912438</v>
      </c>
      <c r="N23" s="11">
        <f t="shared" ca="1" si="17"/>
        <v>0.90467878153865044</v>
      </c>
      <c r="O23" s="11">
        <f t="shared" ca="1" si="18"/>
        <v>-1.3191513285230811</v>
      </c>
      <c r="P23">
        <f t="shared" ca="1" si="1"/>
        <v>0.90467878153865044</v>
      </c>
      <c r="Q23" s="26">
        <f t="shared" ca="1" si="19"/>
        <v>0.87769514094739842</v>
      </c>
      <c r="R23">
        <f t="shared" ca="1" si="2"/>
        <v>-1.2798053130524853</v>
      </c>
      <c r="S23" s="11">
        <f t="shared" ca="1" si="28"/>
        <v>0</v>
      </c>
      <c r="T23" s="11">
        <f t="shared" ca="1" si="3"/>
        <v>-0.4776951409473984</v>
      </c>
      <c r="U23" s="11">
        <f t="shared" ca="1" si="20"/>
        <v>0.87769514094739842</v>
      </c>
      <c r="V23" s="2">
        <f t="shared" ca="1" si="4"/>
        <v>0.84210024338683054</v>
      </c>
      <c r="W23" s="2">
        <f t="shared" ca="1" si="21"/>
        <v>0.84210024338683054</v>
      </c>
      <c r="X23" s="2">
        <f t="shared" ca="1" si="22"/>
        <v>0.84801698272897064</v>
      </c>
      <c r="Y23" s="27">
        <f t="shared" ca="1" si="5"/>
        <v>-1.6016855613583352</v>
      </c>
      <c r="Z23" s="11">
        <f t="shared" ca="1" si="6"/>
        <v>-0.44210024338683052</v>
      </c>
      <c r="AA23">
        <f t="shared" ca="1" si="7"/>
        <v>0.65588802734069185</v>
      </c>
      <c r="AB23">
        <f t="shared" ca="1" si="23"/>
        <v>0.65588802734069185</v>
      </c>
      <c r="AC23">
        <f t="shared" ca="1" si="24"/>
        <v>0.6602802818816238</v>
      </c>
      <c r="AD23">
        <f t="shared" ca="1" si="8"/>
        <v>-2.8998900726010253</v>
      </c>
      <c r="AE23" s="11">
        <f t="shared" ca="1" si="9"/>
        <v>-0.25588802734069183</v>
      </c>
      <c r="AF23">
        <f t="shared" ca="1" si="10"/>
        <v>1.2127823099064492</v>
      </c>
      <c r="AG23">
        <f t="shared" ca="1" si="11"/>
        <v>-0.22852266299911531</v>
      </c>
      <c r="AH23" s="28">
        <f t="shared" ca="1" si="12"/>
        <v>0</v>
      </c>
      <c r="AI23" s="28">
        <f t="shared" ca="1" si="13"/>
        <v>0</v>
      </c>
      <c r="AJ23" s="12">
        <f t="shared" ca="1" si="29"/>
        <v>6.431763833083015E-3</v>
      </c>
      <c r="AK23" s="29">
        <f t="shared" ca="1" si="30"/>
        <v>0.87783076354341494</v>
      </c>
      <c r="AL23" s="12">
        <f t="shared" ca="1" si="25"/>
        <v>1.3562259601651583E-4</v>
      </c>
    </row>
    <row r="24" spans="5:38" x14ac:dyDescent="0.25">
      <c r="H24">
        <f t="shared" si="26"/>
        <v>1.5605749486652978</v>
      </c>
      <c r="I24" s="15">
        <f t="shared" si="27"/>
        <v>43988</v>
      </c>
      <c r="J24">
        <f t="shared" si="32"/>
        <v>1.431895961670089</v>
      </c>
      <c r="K24" s="16">
        <f t="shared" ca="1" si="14"/>
        <v>6.5935329931848113E-2</v>
      </c>
      <c r="L24" s="11">
        <f t="shared" si="15"/>
        <v>1.3818394976970994</v>
      </c>
      <c r="M24" s="11">
        <f t="shared" si="16"/>
        <v>0.99718613484550578</v>
      </c>
      <c r="N24" s="11">
        <f t="shared" ca="1" si="17"/>
        <v>0.91034659832273435</v>
      </c>
      <c r="O24" s="11">
        <f t="shared" ca="1" si="18"/>
        <v>-1.2579528861565503</v>
      </c>
      <c r="P24">
        <f t="shared" ca="1" si="1"/>
        <v>0.91034659832273435</v>
      </c>
      <c r="Q24" s="26">
        <f t="shared" ca="1" si="19"/>
        <v>0.88464592927547114</v>
      </c>
      <c r="R24">
        <f t="shared" ca="1" si="2"/>
        <v>-1.2224386865498007</v>
      </c>
      <c r="S24" s="11">
        <f t="shared" ca="1" si="28"/>
        <v>0</v>
      </c>
      <c r="T24" s="11">
        <f t="shared" ca="1" si="3"/>
        <v>-0.48464592927547112</v>
      </c>
      <c r="U24" s="11">
        <f t="shared" ca="1" si="20"/>
        <v>0.88464592927547114</v>
      </c>
      <c r="V24" s="2">
        <f t="shared" ca="1" si="4"/>
        <v>0.84308675322224846</v>
      </c>
      <c r="W24" s="2">
        <f t="shared" ca="1" si="21"/>
        <v>0.84308675322224846</v>
      </c>
      <c r="X24" s="2">
        <f t="shared" ca="1" si="22"/>
        <v>0.84897150184207471</v>
      </c>
      <c r="Y24" s="27">
        <f t="shared" ca="1" si="5"/>
        <v>-1.6035619158326817</v>
      </c>
      <c r="Z24" s="11">
        <f t="shared" ca="1" si="6"/>
        <v>-0.44308675322224844</v>
      </c>
      <c r="AA24">
        <f t="shared" ca="1" si="7"/>
        <v>0.65767551293911863</v>
      </c>
      <c r="AB24">
        <f t="shared" ca="1" si="23"/>
        <v>0.65767551293911863</v>
      </c>
      <c r="AC24">
        <f t="shared" ca="1" si="24"/>
        <v>0.66205361029687038</v>
      </c>
      <c r="AD24">
        <f t="shared" ca="1" si="8"/>
        <v>-2.9077931163001329</v>
      </c>
      <c r="AE24" s="11">
        <f t="shared" ca="1" si="9"/>
        <v>-0.25767551293911861</v>
      </c>
      <c r="AF24">
        <f t="shared" ca="1" si="10"/>
        <v>1.2502857803937779</v>
      </c>
      <c r="AG24">
        <f t="shared" ca="1" si="11"/>
        <v>-0.26909478890039479</v>
      </c>
      <c r="AH24" s="28">
        <f t="shared" ca="1" si="12"/>
        <v>0</v>
      </c>
      <c r="AI24" s="28">
        <f t="shared" ca="1" si="13"/>
        <v>0</v>
      </c>
      <c r="AJ24" s="12">
        <f t="shared" ca="1" si="29"/>
        <v>7.6433771444255009E-3</v>
      </c>
      <c r="AK24" s="29">
        <f t="shared" ca="1" si="30"/>
        <v>0.88476570301724988</v>
      </c>
      <c r="AL24" s="12">
        <f t="shared" ca="1" si="25"/>
        <v>1.1977374177873923E-4</v>
      </c>
    </row>
    <row r="25" spans="5:38" x14ac:dyDescent="0.25">
      <c r="H25">
        <f t="shared" si="26"/>
        <v>1.6427104722792607</v>
      </c>
      <c r="I25" s="15">
        <f t="shared" si="27"/>
        <v>44018</v>
      </c>
      <c r="J25">
        <f t="shared" si="32"/>
        <v>1.3497604380561259</v>
      </c>
      <c r="K25" s="16">
        <f t="shared" ca="1" si="14"/>
        <v>6.016477133191251E-2</v>
      </c>
      <c r="L25" s="11">
        <f t="shared" si="15"/>
        <v>1.3052216611486012</v>
      </c>
      <c r="M25" s="11">
        <f t="shared" si="16"/>
        <v>0.99748673192858128</v>
      </c>
      <c r="N25" s="11">
        <f t="shared" ca="1" si="17"/>
        <v>0.92215238324585036</v>
      </c>
      <c r="O25" s="11">
        <f t="shared" ca="1" si="18"/>
        <v>-1.2036132654922902</v>
      </c>
      <c r="P25">
        <f t="shared" ca="1" si="1"/>
        <v>0.92215238324585025</v>
      </c>
      <c r="Q25" s="26">
        <f t="shared" ca="1" si="19"/>
        <v>0.89759168919670174</v>
      </c>
      <c r="R25">
        <f t="shared" ca="1" si="2"/>
        <v>-1.171556115606498</v>
      </c>
      <c r="S25" s="11">
        <f t="shared" ca="1" si="28"/>
        <v>0</v>
      </c>
      <c r="T25" s="11">
        <f t="shared" ca="1" si="3"/>
        <v>-0.49759168919670171</v>
      </c>
      <c r="U25" s="11">
        <f t="shared" ca="1" si="20"/>
        <v>0.89759168919670174</v>
      </c>
      <c r="V25" s="2">
        <f t="shared" ca="1" si="4"/>
        <v>0.8523911689528062</v>
      </c>
      <c r="W25" s="2">
        <f t="shared" ca="1" si="21"/>
        <v>0.8523911689528062</v>
      </c>
      <c r="X25" s="2">
        <f t="shared" ca="1" si="22"/>
        <v>0.85797204816311456</v>
      </c>
      <c r="Y25" s="27">
        <f t="shared" ca="1" si="5"/>
        <v>-1.6212590349696772</v>
      </c>
      <c r="Z25" s="11">
        <f t="shared" ca="1" si="6"/>
        <v>-0.45239116895280618</v>
      </c>
      <c r="AA25">
        <f t="shared" ca="1" si="7"/>
        <v>0.67467098846335671</v>
      </c>
      <c r="AB25">
        <f t="shared" ca="1" si="23"/>
        <v>0.67467098846335671</v>
      </c>
      <c r="AC25">
        <f t="shared" ca="1" si="24"/>
        <v>0.67891101464647885</v>
      </c>
      <c r="AD25">
        <f t="shared" ca="1" si="8"/>
        <v>-2.9829355319220472</v>
      </c>
      <c r="AE25" s="11">
        <f t="shared" ca="1" si="9"/>
        <v>-0.27467098846335669</v>
      </c>
      <c r="AF25">
        <f t="shared" ca="1" si="10"/>
        <v>1.2857415162842973</v>
      </c>
      <c r="AG25">
        <f t="shared" ca="1" si="11"/>
        <v>-0.3060622412167136</v>
      </c>
      <c r="AH25" s="28">
        <f t="shared" ca="1" si="12"/>
        <v>0</v>
      </c>
      <c r="AI25" s="28">
        <f t="shared" ca="1" si="13"/>
        <v>0</v>
      </c>
      <c r="AJ25" s="12">
        <f t="shared" ca="1" si="29"/>
        <v>8.2113797200568765E-3</v>
      </c>
      <c r="AK25" s="29">
        <f t="shared" ca="1" si="30"/>
        <v>0.897674778943792</v>
      </c>
      <c r="AL25" s="12">
        <f t="shared" ca="1" si="25"/>
        <v>8.3089747090259181E-5</v>
      </c>
    </row>
    <row r="26" spans="5:38" x14ac:dyDescent="0.25">
      <c r="H26">
        <f t="shared" si="26"/>
        <v>1.7248459958932238</v>
      </c>
      <c r="I26" s="15">
        <f t="shared" si="27"/>
        <v>44048</v>
      </c>
      <c r="J26">
        <f t="shared" si="32"/>
        <v>1.267624914442163</v>
      </c>
      <c r="K26" s="16">
        <f t="shared" ca="1" si="14"/>
        <v>5.7248635921887864E-2</v>
      </c>
      <c r="L26" s="11">
        <f t="shared" si="15"/>
        <v>1.2282885253052767</v>
      </c>
      <c r="M26" s="11">
        <f t="shared" si="16"/>
        <v>0.99777182844778778</v>
      </c>
      <c r="N26" s="11">
        <f t="shared" ca="1" si="17"/>
        <v>0.9300206393679874</v>
      </c>
      <c r="O26" s="11">
        <f t="shared" ca="1" si="18"/>
        <v>-1.1423336796327759</v>
      </c>
      <c r="P26">
        <f t="shared" ca="1" si="1"/>
        <v>0.9300206393679874</v>
      </c>
      <c r="Q26" s="26">
        <f t="shared" ca="1" si="19"/>
        <v>0.90673866779765278</v>
      </c>
      <c r="R26">
        <f t="shared" ca="1" si="2"/>
        <v>-1.1137367011064501</v>
      </c>
      <c r="S26" s="11">
        <f t="shared" ca="1" si="28"/>
        <v>0</v>
      </c>
      <c r="T26" s="11">
        <f t="shared" ca="1" si="3"/>
        <v>-0.50673866779765275</v>
      </c>
      <c r="U26" s="11">
        <f t="shared" ca="1" si="20"/>
        <v>0.90673866779765278</v>
      </c>
      <c r="V26" s="2">
        <f t="shared" ca="1" si="4"/>
        <v>0.85713211557422586</v>
      </c>
      <c r="W26" s="2">
        <f t="shared" ca="1" si="21"/>
        <v>0.85713211557422586</v>
      </c>
      <c r="X26" s="2">
        <f t="shared" ca="1" si="22"/>
        <v>0.8625566800319896</v>
      </c>
      <c r="Y26" s="27">
        <f t="shared" ca="1" si="5"/>
        <v>-1.6302763768008091</v>
      </c>
      <c r="Z26" s="11">
        <f t="shared" ca="1" si="6"/>
        <v>-0.45713211557422584</v>
      </c>
      <c r="AA26">
        <f t="shared" ca="1" si="7"/>
        <v>0.68342595069678536</v>
      </c>
      <c r="AB26">
        <f t="shared" ca="1" si="23"/>
        <v>0.68342595069678536</v>
      </c>
      <c r="AC26">
        <f t="shared" ca="1" si="24"/>
        <v>0.68759243896574518</v>
      </c>
      <c r="AD26">
        <f t="shared" ca="1" si="8"/>
        <v>-3.0216440111264236</v>
      </c>
      <c r="AE26" s="11">
        <f t="shared" ca="1" si="9"/>
        <v>-0.28342595069678533</v>
      </c>
      <c r="AF26">
        <f t="shared" ca="1" si="10"/>
        <v>1.3223293093914061</v>
      </c>
      <c r="AG26">
        <f t="shared" ca="1" si="11"/>
        <v>-0.34485383801291536</v>
      </c>
      <c r="AH26" s="28">
        <f t="shared" ca="1" si="12"/>
        <v>0</v>
      </c>
      <c r="AI26" s="28">
        <f t="shared" ca="1" si="13"/>
        <v>0</v>
      </c>
      <c r="AJ26" s="12">
        <f t="shared" ca="1" si="29"/>
        <v>9.0748741276871076E-3</v>
      </c>
      <c r="AK26" s="29">
        <f t="shared" ca="1" si="30"/>
        <v>0.90680373047673624</v>
      </c>
      <c r="AL26" s="12">
        <f t="shared" ca="1" si="25"/>
        <v>6.506267908346075E-5</v>
      </c>
    </row>
    <row r="27" spans="5:38" x14ac:dyDescent="0.25">
      <c r="H27">
        <f t="shared" si="26"/>
        <v>1.8069815195071868</v>
      </c>
      <c r="I27" s="15">
        <f t="shared" si="27"/>
        <v>44078</v>
      </c>
      <c r="J27">
        <f t="shared" si="32"/>
        <v>1.1854893908281998</v>
      </c>
      <c r="K27" s="16">
        <f t="shared" ca="1" si="14"/>
        <v>5.065568952865733E-2</v>
      </c>
      <c r="L27" s="11">
        <f t="shared" si="15"/>
        <v>1.1510387926409882</v>
      </c>
      <c r="M27" s="11">
        <f t="shared" si="16"/>
        <v>0.99804115241046232</v>
      </c>
      <c r="N27" s="11">
        <f t="shared" ca="1" si="17"/>
        <v>0.94151270895071903</v>
      </c>
      <c r="O27" s="11">
        <f t="shared" ca="1" si="18"/>
        <v>-1.0837176517667817</v>
      </c>
      <c r="P27">
        <f t="shared" ca="1" si="1"/>
        <v>0.94151270895071903</v>
      </c>
      <c r="Q27" s="26">
        <f t="shared" ca="1" si="19"/>
        <v>0.91945220081899215</v>
      </c>
      <c r="R27">
        <f t="shared" ca="1" si="2"/>
        <v>-1.0583251511217922</v>
      </c>
      <c r="S27" s="11">
        <f t="shared" ca="1" si="28"/>
        <v>0</v>
      </c>
      <c r="T27" s="11">
        <f t="shared" ca="1" si="3"/>
        <v>-0.51945220081899213</v>
      </c>
      <c r="U27" s="11">
        <f t="shared" ca="1" si="20"/>
        <v>0.91945220081899215</v>
      </c>
      <c r="V27" s="2">
        <f t="shared" ca="1" si="4"/>
        <v>0.86794811420480056</v>
      </c>
      <c r="W27" s="2">
        <f t="shared" ca="1" si="21"/>
        <v>0.86794811420480056</v>
      </c>
      <c r="X27" s="2">
        <f t="shared" ca="1" si="22"/>
        <v>0.87301235479295325</v>
      </c>
      <c r="Y27" s="27">
        <f t="shared" ca="1" si="5"/>
        <v>-1.6508485461764983</v>
      </c>
      <c r="Z27" s="11">
        <f t="shared" ca="1" si="6"/>
        <v>-0.46794811420480054</v>
      </c>
      <c r="AA27">
        <f t="shared" ca="1" si="7"/>
        <v>0.70364068116372724</v>
      </c>
      <c r="AB27">
        <f t="shared" ca="1" si="23"/>
        <v>0.70364068116372724</v>
      </c>
      <c r="AC27">
        <f t="shared" ca="1" si="24"/>
        <v>0.70763124895890428</v>
      </c>
      <c r="AD27">
        <f t="shared" ca="1" si="8"/>
        <v>-3.111019779181023</v>
      </c>
      <c r="AE27" s="11">
        <f t="shared" ca="1" si="9"/>
        <v>-0.30364068116372722</v>
      </c>
      <c r="AF27">
        <f t="shared" ca="1" si="10"/>
        <v>1.3563471667245608</v>
      </c>
      <c r="AG27">
        <f t="shared" ca="1" si="11"/>
        <v>-0.37955354867171792</v>
      </c>
      <c r="AH27" s="28">
        <f t="shared" ca="1" si="12"/>
        <v>0</v>
      </c>
      <c r="AI27" s="28">
        <f t="shared" ca="1" si="13"/>
        <v>0</v>
      </c>
      <c r="AJ27" s="12">
        <f t="shared" ca="1" si="29"/>
        <v>9.3006178314727801E-3</v>
      </c>
      <c r="AK27" s="29">
        <f t="shared" ca="1" si="30"/>
        <v>0.91947026587160208</v>
      </c>
      <c r="AL27" s="12">
        <f t="shared" ca="1" si="25"/>
        <v>1.8065052609927967E-5</v>
      </c>
    </row>
    <row r="28" spans="5:38" x14ac:dyDescent="0.25">
      <c r="H28">
        <f t="shared" si="26"/>
        <v>1.8891170431211499</v>
      </c>
      <c r="I28" s="15">
        <f t="shared" si="27"/>
        <v>44108</v>
      </c>
      <c r="J28">
        <f t="shared" si="32"/>
        <v>1.1033538672142369</v>
      </c>
      <c r="K28" s="16">
        <f t="shared" ca="1" si="14"/>
        <v>5.6491789241226949E-2</v>
      </c>
      <c r="L28" s="11">
        <f t="shared" si="15"/>
        <v>1.073471160289996</v>
      </c>
      <c r="M28" s="11">
        <f t="shared" si="16"/>
        <v>0.99829442961564041</v>
      </c>
      <c r="N28" s="11">
        <f t="shared" ca="1" si="17"/>
        <v>0.93955461195961554</v>
      </c>
      <c r="O28" s="11">
        <f t="shared" ca="1" si="18"/>
        <v>-1.0085847794561054</v>
      </c>
      <c r="P28">
        <f t="shared" ca="1" si="1"/>
        <v>0.93955461195961554</v>
      </c>
      <c r="Q28" s="26">
        <f ca="1">ZCBond(I28,$C$4,$F$10,K28,$F$4,$F$5,$F$6)</f>
        <v>0.91904847504823173</v>
      </c>
      <c r="R28">
        <f t="shared" ca="1" si="2"/>
        <v>-0.98657203287277684</v>
      </c>
      <c r="S28" s="11">
        <f t="shared" ca="1" si="28"/>
        <v>0</v>
      </c>
      <c r="T28" s="11">
        <f t="shared" ca="1" si="3"/>
        <v>-0.51904847504823171</v>
      </c>
      <c r="U28" s="11">
        <f t="shared" ca="1" si="20"/>
        <v>0.91904847504823173</v>
      </c>
      <c r="V28" s="2">
        <f t="shared" ca="1" si="4"/>
        <v>0.85836687336212614</v>
      </c>
      <c r="W28" s="2">
        <f t="shared" ca="1" si="21"/>
        <v>0.85836687336212614</v>
      </c>
      <c r="X28" s="2">
        <f t="shared" ca="1" si="22"/>
        <v>0.86375056316304011</v>
      </c>
      <c r="Y28" s="27">
        <f t="shared" ca="1" si="5"/>
        <v>-1.6326249020935946</v>
      </c>
      <c r="Z28" s="11">
        <f t="shared" ca="1" si="6"/>
        <v>-0.45836687336212611</v>
      </c>
      <c r="AA28">
        <f t="shared" ca="1" si="7"/>
        <v>0.6857167025253359</v>
      </c>
      <c r="AB28">
        <f t="shared" ca="1" si="23"/>
        <v>0.6857167025253359</v>
      </c>
      <c r="AC28">
        <f t="shared" ca="1" si="24"/>
        <v>0.68986368246252339</v>
      </c>
      <c r="AD28">
        <f t="shared" ca="1" si="8"/>
        <v>-3.0317721552752652</v>
      </c>
      <c r="AE28" s="11">
        <f t="shared" ca="1" si="9"/>
        <v>-0.28571670252533587</v>
      </c>
      <c r="AF28">
        <f t="shared" ca="1" si="10"/>
        <v>1.3992229142387294</v>
      </c>
      <c r="AG28">
        <f t="shared" ca="1" si="11"/>
        <v>-0.42807772946760497</v>
      </c>
      <c r="AH28" s="28">
        <f t="shared" ca="1" si="12"/>
        <v>0</v>
      </c>
      <c r="AI28" s="28">
        <f t="shared" ca="1" si="13"/>
        <v>0</v>
      </c>
      <c r="AJ28" s="12">
        <f t="shared" ca="1" si="29"/>
        <v>1.1514779977366919E-2</v>
      </c>
      <c r="AK28" s="29">
        <f t="shared" ca="1" si="30"/>
        <v>0.91902132893404853</v>
      </c>
      <c r="AL28" s="12">
        <f t="shared" ca="1" si="25"/>
        <v>-2.7146114183196346E-5</v>
      </c>
    </row>
    <row r="29" spans="5:38" x14ac:dyDescent="0.25">
      <c r="H29">
        <f t="shared" si="26"/>
        <v>1.9712525667351128</v>
      </c>
      <c r="I29" s="15">
        <f t="shared" si="27"/>
        <v>44138</v>
      </c>
      <c r="J29">
        <f t="shared" si="32"/>
        <v>1.0212183436002737</v>
      </c>
      <c r="K29" s="16">
        <f t="shared" ca="1" si="14"/>
        <v>5.1371316167236114E-2</v>
      </c>
      <c r="L29" s="11">
        <f t="shared" si="15"/>
        <v>0.99558432002498032</v>
      </c>
      <c r="M29" s="11">
        <f t="shared" si="16"/>
        <v>0.9985313836689288</v>
      </c>
      <c r="N29" s="11">
        <f t="shared" ca="1" si="17"/>
        <v>0.94874599399896042</v>
      </c>
      <c r="O29" s="11">
        <f t="shared" ca="1" si="18"/>
        <v>-0.94455663531187906</v>
      </c>
      <c r="P29">
        <f t="shared" ca="1" si="1"/>
        <v>0.94874599399896042</v>
      </c>
      <c r="Q29" s="26">
        <f t="shared" ca="1" si="19"/>
        <v>0.92956500431643208</v>
      </c>
      <c r="R29">
        <f t="shared" ca="1" si="2"/>
        <v>-0.92546034274139299</v>
      </c>
      <c r="S29" s="11">
        <f t="shared" ca="1" si="28"/>
        <v>0</v>
      </c>
      <c r="T29" s="11">
        <f t="shared" ca="1" si="3"/>
        <v>-0.52956500431643205</v>
      </c>
      <c r="U29" s="11">
        <f t="shared" ca="1" si="20"/>
        <v>0.92956500431643208</v>
      </c>
      <c r="V29" s="2">
        <f t="shared" ca="1" si="4"/>
        <v>0.86676752665839785</v>
      </c>
      <c r="W29" s="2">
        <f t="shared" ca="1" si="21"/>
        <v>0.86676752665839785</v>
      </c>
      <c r="X29" s="2">
        <f t="shared" ca="1" si="22"/>
        <v>0.87187134649104203</v>
      </c>
      <c r="Y29" s="27">
        <f t="shared" ca="1" si="5"/>
        <v>-1.648603053384111</v>
      </c>
      <c r="Z29" s="11">
        <f t="shared" ca="1" si="6"/>
        <v>-0.46676752665839782</v>
      </c>
      <c r="AA29">
        <f t="shared" ca="1" si="7"/>
        <v>0.70141787089184993</v>
      </c>
      <c r="AB29">
        <f t="shared" ca="1" si="23"/>
        <v>0.70141787089184993</v>
      </c>
      <c r="AC29">
        <f t="shared" ca="1" si="24"/>
        <v>0.70542819575679472</v>
      </c>
      <c r="AD29">
        <f t="shared" ca="1" si="8"/>
        <v>-3.1011920263146875</v>
      </c>
      <c r="AE29" s="11">
        <f t="shared" ca="1" si="9"/>
        <v>-0.3014178708918499</v>
      </c>
      <c r="AF29">
        <f t="shared" ca="1" si="10"/>
        <v>1.4341549107574851</v>
      </c>
      <c r="AG29">
        <f t="shared" ca="1" si="11"/>
        <v>-0.46398024048485847</v>
      </c>
      <c r="AH29" s="28">
        <f t="shared" ca="1" si="12"/>
        <v>0</v>
      </c>
      <c r="AI29" s="28">
        <f t="shared" ca="1" si="13"/>
        <v>0</v>
      </c>
      <c r="AJ29" s="12">
        <f t="shared" ca="1" si="29"/>
        <v>1.186310448279629E-2</v>
      </c>
      <c r="AK29" s="29">
        <f t="shared" ca="1" si="30"/>
        <v>0.92949797690827884</v>
      </c>
      <c r="AL29" s="12">
        <f t="shared" ca="1" si="25"/>
        <v>-6.7027408153230716E-5</v>
      </c>
    </row>
    <row r="30" spans="5:38" x14ac:dyDescent="0.25">
      <c r="H30">
        <f t="shared" si="26"/>
        <v>2.0533880903490758</v>
      </c>
      <c r="I30" s="15">
        <f t="shared" si="27"/>
        <v>44168</v>
      </c>
      <c r="J30">
        <f t="shared" si="32"/>
        <v>0.93908281998631071</v>
      </c>
      <c r="K30" s="16">
        <f t="shared" ca="1" si="14"/>
        <v>5.1103765094070219E-2</v>
      </c>
      <c r="L30" s="11">
        <f t="shared" si="15"/>
        <v>0.91737695823497223</v>
      </c>
      <c r="M30" s="11">
        <f t="shared" si="16"/>
        <v>0.99875173599847511</v>
      </c>
      <c r="N30" s="11">
        <f t="shared" ca="1" si="17"/>
        <v>0.9530094490605302</v>
      </c>
      <c r="O30" s="11">
        <f t="shared" ca="1" si="18"/>
        <v>-0.87426890954833592</v>
      </c>
      <c r="P30">
        <f t="shared" ca="1" si="1"/>
        <v>0.9530094490605302</v>
      </c>
      <c r="Q30" s="26">
        <f t="shared" ca="1" si="19"/>
        <v>0.93527739298126622</v>
      </c>
      <c r="R30">
        <f t="shared" ca="1" si="2"/>
        <v>-0.85800192987908874</v>
      </c>
      <c r="S30" s="11">
        <f t="shared" ca="1" si="28"/>
        <v>0</v>
      </c>
      <c r="T30" s="11">
        <f t="shared" ca="1" si="3"/>
        <v>-0.5352773929812662</v>
      </c>
      <c r="U30" s="11">
        <f t="shared" ca="1" si="20"/>
        <v>0.93527739298126622</v>
      </c>
      <c r="V30" s="2">
        <f t="shared" ca="1" si="4"/>
        <v>0.86720872442462982</v>
      </c>
      <c r="W30" s="2">
        <f t="shared" ca="1" si="21"/>
        <v>0.86720872442462982</v>
      </c>
      <c r="X30" s="2">
        <f t="shared" ca="1" si="22"/>
        <v>0.872297760201727</v>
      </c>
      <c r="Y30" s="27">
        <f t="shared" ca="1" si="5"/>
        <v>-1.649442217245453</v>
      </c>
      <c r="Z30" s="11">
        <f t="shared" ca="1" si="6"/>
        <v>-0.4672087244246298</v>
      </c>
      <c r="AA30">
        <f t="shared" ca="1" si="7"/>
        <v>0.702248089094197</v>
      </c>
      <c r="AB30">
        <f t="shared" ca="1" si="23"/>
        <v>0.702248089094197</v>
      </c>
      <c r="AC30">
        <f t="shared" ca="1" si="24"/>
        <v>0.7062510465333498</v>
      </c>
      <c r="AD30">
        <f t="shared" ca="1" si="8"/>
        <v>-3.1048626856692119</v>
      </c>
      <c r="AE30" s="11">
        <f t="shared" ca="1" si="9"/>
        <v>-0.30224808909419698</v>
      </c>
      <c r="AF30">
        <f t="shared" ca="1" si="10"/>
        <v>1.4732333904953017</v>
      </c>
      <c r="AG30">
        <f t="shared" ca="1" si="11"/>
        <v>-0.50630626195331785</v>
      </c>
      <c r="AH30" s="28">
        <f t="shared" ca="1" si="12"/>
        <v>0</v>
      </c>
      <c r="AI30" s="28">
        <f t="shared" ca="1" si="13"/>
        <v>0</v>
      </c>
      <c r="AJ30" s="12">
        <f t="shared" ca="1" si="29"/>
        <v>1.3157949768587579E-2</v>
      </c>
      <c r="AK30" s="29">
        <f t="shared" ca="1" si="30"/>
        <v>0.9352061941666473</v>
      </c>
      <c r="AL30" s="12">
        <f t="shared" ca="1" si="25"/>
        <v>-7.1198814618922412E-5</v>
      </c>
    </row>
    <row r="31" spans="5:38" x14ac:dyDescent="0.25">
      <c r="H31">
        <f t="shared" si="26"/>
        <v>2.1355236139630391</v>
      </c>
      <c r="I31" s="15">
        <f t="shared" si="27"/>
        <v>44198</v>
      </c>
      <c r="J31">
        <f t="shared" si="32"/>
        <v>0.85694729637234768</v>
      </c>
      <c r="K31" s="16">
        <f t="shared" ca="1" si="14"/>
        <v>5.6835770918373475E-2</v>
      </c>
      <c r="L31" s="11">
        <f t="shared" si="15"/>
        <v>0.83884775590321148</v>
      </c>
      <c r="M31" s="11">
        <f t="shared" si="16"/>
        <v>0.99895520587206199</v>
      </c>
      <c r="N31" s="11">
        <f t="shared" ca="1" si="17"/>
        <v>0.95244596886080646</v>
      </c>
      <c r="O31" s="11">
        <f t="shared" ca="1" si="18"/>
        <v>-0.79895716359794755</v>
      </c>
      <c r="P31">
        <f t="shared" ca="1" si="1"/>
        <v>0.95244596886080646</v>
      </c>
      <c r="Q31" s="26">
        <f t="shared" ca="1" si="19"/>
        <v>0.93626114053084242</v>
      </c>
      <c r="R31">
        <f t="shared" ca="1" si="2"/>
        <v>-0.78538055667367845</v>
      </c>
      <c r="S31" s="11">
        <f t="shared" ca="1" si="28"/>
        <v>0</v>
      </c>
      <c r="T31" s="11">
        <f t="shared" ca="1" si="3"/>
        <v>-0.5362611405308424</v>
      </c>
      <c r="U31" s="11">
        <f t="shared" ca="1" si="20"/>
        <v>0.93626114053084242</v>
      </c>
      <c r="V31" s="2">
        <f t="shared" ca="1" si="4"/>
        <v>0.85780546398335566</v>
      </c>
      <c r="W31" s="2">
        <f t="shared" ca="1" si="21"/>
        <v>0.85780546398335566</v>
      </c>
      <c r="X31" s="2">
        <f t="shared" ca="1" si="22"/>
        <v>0.86320774667528821</v>
      </c>
      <c r="Y31" s="27">
        <f t="shared" ca="1" si="5"/>
        <v>-1.6315570941894293</v>
      </c>
      <c r="Z31" s="11">
        <f t="shared" ca="1" si="6"/>
        <v>-0.45780546398335564</v>
      </c>
      <c r="AA31">
        <f t="shared" ca="1" si="7"/>
        <v>0.68467462108166621</v>
      </c>
      <c r="AB31">
        <f t="shared" ca="1" si="23"/>
        <v>0.68467462108166621</v>
      </c>
      <c r="AC31">
        <f t="shared" ca="1" si="24"/>
        <v>0.68883048917868483</v>
      </c>
      <c r="AD31">
        <f t="shared" ca="1" si="8"/>
        <v>-3.0271647809867126</v>
      </c>
      <c r="AE31" s="11">
        <f t="shared" ca="1" si="9"/>
        <v>-0.28467462108166619</v>
      </c>
      <c r="AF31">
        <f t="shared" ca="1" si="10"/>
        <v>1.5191975303337657</v>
      </c>
      <c r="AG31">
        <f t="shared" ca="1" si="11"/>
        <v>-0.55936068034773756</v>
      </c>
      <c r="AH31" s="28">
        <f t="shared" ca="1" si="12"/>
        <v>0</v>
      </c>
      <c r="AI31" s="28">
        <f t="shared" ca="1" si="13"/>
        <v>0</v>
      </c>
      <c r="AJ31" s="12">
        <f t="shared" ca="1" si="29"/>
        <v>1.5930986948995189E-2</v>
      </c>
      <c r="AK31" s="29">
        <f t="shared" ca="1" si="30"/>
        <v>0.93612686747424889</v>
      </c>
      <c r="AL31" s="12">
        <f t="shared" ca="1" si="25"/>
        <v>-1.3427305659352573E-4</v>
      </c>
    </row>
    <row r="32" spans="5:38" x14ac:dyDescent="0.25">
      <c r="H32">
        <f t="shared" si="26"/>
        <v>2.2176591375770021</v>
      </c>
      <c r="I32" s="15">
        <f t="shared" si="27"/>
        <v>44228</v>
      </c>
      <c r="J32">
        <f t="shared" si="32"/>
        <v>0.77481177275838464</v>
      </c>
      <c r="K32" s="16">
        <f t="shared" ca="1" si="14"/>
        <v>5.4431664145230485E-2</v>
      </c>
      <c r="L32" s="11">
        <f t="shared" si="15"/>
        <v>0.75999538858488869</v>
      </c>
      <c r="M32" s="11">
        <f t="shared" si="16"/>
        <v>0.99914151041535226</v>
      </c>
      <c r="N32" s="11">
        <f t="shared" ca="1" si="17"/>
        <v>0.95865245623363815</v>
      </c>
      <c r="O32" s="11">
        <f t="shared" ca="1" si="18"/>
        <v>-0.72857144599314183</v>
      </c>
      <c r="P32">
        <f t="shared" ca="1" si="1"/>
        <v>0.95865245623363815</v>
      </c>
      <c r="Q32" s="26">
        <f t="shared" ca="1" si="19"/>
        <v>0.94391146199343001</v>
      </c>
      <c r="R32">
        <f t="shared" ca="1" si="2"/>
        <v>-0.71736835834742729</v>
      </c>
      <c r="S32" s="11">
        <f t="shared" ca="1" si="28"/>
        <v>0</v>
      </c>
      <c r="T32" s="11">
        <f t="shared" ca="1" si="3"/>
        <v>-0.54391146199342999</v>
      </c>
      <c r="U32" s="11">
        <f t="shared" ca="1" si="20"/>
        <v>0.94391146199343001</v>
      </c>
      <c r="V32" s="2">
        <f t="shared" ca="1" si="4"/>
        <v>0.86173688308050733</v>
      </c>
      <c r="W32" s="2">
        <f t="shared" ca="1" si="21"/>
        <v>0.86173688308050733</v>
      </c>
      <c r="X32" s="2">
        <f t="shared" ca="1" si="22"/>
        <v>0.86700867223516731</v>
      </c>
      <c r="Y32" s="27">
        <f t="shared" ca="1" si="5"/>
        <v>-1.6390347041925222</v>
      </c>
      <c r="Z32" s="11">
        <f t="shared" ca="1" si="6"/>
        <v>-0.46173688308050731</v>
      </c>
      <c r="AA32">
        <f t="shared" ca="1" si="7"/>
        <v>0.69199106396482413</v>
      </c>
      <c r="AB32">
        <f t="shared" ca="1" si="23"/>
        <v>0.69199106396482413</v>
      </c>
      <c r="AC32">
        <f t="shared" ca="1" si="24"/>
        <v>0.6960840484027121</v>
      </c>
      <c r="AD32">
        <f t="shared" ca="1" si="8"/>
        <v>-3.0595131075290438</v>
      </c>
      <c r="AE32" s="11">
        <f t="shared" ca="1" si="9"/>
        <v>-0.2919910639648241</v>
      </c>
      <c r="AF32">
        <f t="shared" ca="1" si="10"/>
        <v>1.557251775287624</v>
      </c>
      <c r="AG32">
        <f t="shared" ca="1" si="11"/>
        <v>-0.59977561135419444</v>
      </c>
      <c r="AH32" s="28">
        <f t="shared" ca="1" si="12"/>
        <v>0</v>
      </c>
      <c r="AI32" s="28">
        <f t="shared" ca="1" si="13"/>
        <v>0</v>
      </c>
      <c r="AJ32" s="12">
        <f t="shared" ca="1" si="29"/>
        <v>1.6850637631803625E-2</v>
      </c>
      <c r="AK32" s="29">
        <f t="shared" ca="1" si="30"/>
        <v>0.94375256519860562</v>
      </c>
      <c r="AL32" s="12">
        <f t="shared" ca="1" si="25"/>
        <v>-1.5889679482439245E-4</v>
      </c>
    </row>
    <row r="33" spans="8:38" x14ac:dyDescent="0.25">
      <c r="H33">
        <f t="shared" si="26"/>
        <v>2.299794661190965</v>
      </c>
      <c r="I33" s="15">
        <f t="shared" si="27"/>
        <v>44258</v>
      </c>
      <c r="J33">
        <f t="shared" si="32"/>
        <v>0.69267624914442161</v>
      </c>
      <c r="K33" s="16">
        <f t="shared" ca="1" si="14"/>
        <v>5.0957138356905518E-2</v>
      </c>
      <c r="L33" s="11">
        <f t="shared" si="15"/>
        <v>0.68081852638481433</v>
      </c>
      <c r="M33" s="11">
        <f t="shared" si="16"/>
        <v>0.99931036463131151</v>
      </c>
      <c r="N33" s="11">
        <f t="shared" ca="1" si="17"/>
        <v>0.96523620350651751</v>
      </c>
      <c r="O33" s="11">
        <f t="shared" ca="1" si="18"/>
        <v>-0.65715068968458001</v>
      </c>
      <c r="P33">
        <f t="shared" ca="1" si="1"/>
        <v>0.96523620350651751</v>
      </c>
      <c r="Q33" s="26">
        <f t="shared" ca="1" si="19"/>
        <v>0.95195647754114077</v>
      </c>
      <c r="R33">
        <f t="shared" ca="1" si="2"/>
        <v>-0.64810960622203806</v>
      </c>
      <c r="S33" s="11">
        <f t="shared" ca="1" si="28"/>
        <v>0</v>
      </c>
      <c r="T33" s="11">
        <f t="shared" ca="1" si="3"/>
        <v>-0.55195647754114074</v>
      </c>
      <c r="U33" s="11">
        <f t="shared" ca="1" si="20"/>
        <v>0.95195647754114077</v>
      </c>
      <c r="V33" s="2">
        <f t="shared" ca="1" si="4"/>
        <v>0.86745061048283034</v>
      </c>
      <c r="W33" s="2">
        <f t="shared" ca="1" si="21"/>
        <v>0.86745061048283034</v>
      </c>
      <c r="X33" s="2">
        <f t="shared" ca="1" si="22"/>
        <v>0.87253153731662225</v>
      </c>
      <c r="Y33" s="27">
        <f t="shared" ca="1" si="5"/>
        <v>-1.6499022876586324</v>
      </c>
      <c r="Z33" s="11">
        <f t="shared" ca="1" si="6"/>
        <v>-0.46745061048283032</v>
      </c>
      <c r="AA33">
        <f t="shared" ca="1" si="7"/>
        <v>0.70270349257848563</v>
      </c>
      <c r="AB33">
        <f t="shared" ca="1" si="23"/>
        <v>0.70270349257848563</v>
      </c>
      <c r="AC33">
        <f t="shared" ca="1" si="24"/>
        <v>0.70670240273711571</v>
      </c>
      <c r="AD33">
        <f t="shared" ca="1" si="8"/>
        <v>-3.1068761696604823</v>
      </c>
      <c r="AE33" s="11">
        <f t="shared" ca="1" si="9"/>
        <v>-0.30270349257848561</v>
      </c>
      <c r="AF33">
        <f t="shared" ca="1" si="10"/>
        <v>1.5937740550124246</v>
      </c>
      <c r="AG33">
        <f t="shared" ca="1" si="11"/>
        <v>-0.63776660058211121</v>
      </c>
      <c r="AH33" s="28">
        <f t="shared" ca="1" si="12"/>
        <v>0</v>
      </c>
      <c r="AI33" s="28">
        <f t="shared" ca="1" si="13"/>
        <v>0</v>
      </c>
      <c r="AJ33" s="12">
        <f t="shared" ca="1" si="29"/>
        <v>1.7407301619215727E-2</v>
      </c>
      <c r="AK33" s="29">
        <f t="shared" ca="1" si="30"/>
        <v>0.95176676093248203</v>
      </c>
      <c r="AL33" s="12">
        <f t="shared" ca="1" si="25"/>
        <v>-1.8971660865874096E-4</v>
      </c>
    </row>
    <row r="34" spans="8:38" x14ac:dyDescent="0.25">
      <c r="H34">
        <f t="shared" si="26"/>
        <v>2.3819301848049284</v>
      </c>
      <c r="I34" s="15">
        <f t="shared" si="27"/>
        <v>44288</v>
      </c>
      <c r="J34">
        <f t="shared" si="32"/>
        <v>0.61054072553045857</v>
      </c>
      <c r="K34" s="16">
        <f t="shared" ca="1" si="14"/>
        <v>4.537049836058854E-2</v>
      </c>
      <c r="L34" s="11">
        <f t="shared" si="15"/>
        <v>0.60131583393498111</v>
      </c>
      <c r="M34" s="11">
        <f t="shared" si="16"/>
        <v>0.99946148142083602</v>
      </c>
      <c r="N34" s="11">
        <f t="shared" ca="1" si="17"/>
        <v>0.97256276795296159</v>
      </c>
      <c r="O34" s="11">
        <f t="shared" ca="1" si="18"/>
        <v>-0.58481739186574866</v>
      </c>
      <c r="P34">
        <f t="shared" ca="1" si="1"/>
        <v>0.97256276795296159</v>
      </c>
      <c r="Q34" s="26">
        <f t="shared" ca="1" si="19"/>
        <v>0.96075919666627008</v>
      </c>
      <c r="R34">
        <f t="shared" ca="1" si="2"/>
        <v>-0.57771971755408069</v>
      </c>
      <c r="S34" s="11">
        <f t="shared" ca="1" si="28"/>
        <v>0</v>
      </c>
      <c r="T34" s="11">
        <f t="shared" ca="1" si="3"/>
        <v>-0.56075919666627005</v>
      </c>
      <c r="U34" s="11">
        <f t="shared" ca="1" si="20"/>
        <v>0.96075919666627008</v>
      </c>
      <c r="V34" s="2">
        <f t="shared" ca="1" si="4"/>
        <v>0.87671716597145111</v>
      </c>
      <c r="W34" s="2">
        <f t="shared" ca="1" si="21"/>
        <v>0.87671716597145111</v>
      </c>
      <c r="X34" s="2">
        <f t="shared" ca="1" si="22"/>
        <v>0.88148552741605002</v>
      </c>
      <c r="Y34" s="27">
        <f t="shared" ca="1" si="5"/>
        <v>-1.667527396125478</v>
      </c>
      <c r="Z34" s="11">
        <f t="shared" ca="1" si="6"/>
        <v>-0.47671716597145108</v>
      </c>
      <c r="AA34">
        <f t="shared" ca="1" si="7"/>
        <v>0.72027662881833199</v>
      </c>
      <c r="AB34">
        <f t="shared" ca="1" si="23"/>
        <v>0.72027662881833199</v>
      </c>
      <c r="AC34">
        <f t="shared" ca="1" si="24"/>
        <v>0.72411614896628285</v>
      </c>
      <c r="AD34">
        <f t="shared" ca="1" si="8"/>
        <v>-3.1845726074701717</v>
      </c>
      <c r="AE34" s="11">
        <f t="shared" ca="1" si="9"/>
        <v>-0.32027662881833197</v>
      </c>
      <c r="AF34">
        <f t="shared" ca="1" si="10"/>
        <v>1.6266603422017132</v>
      </c>
      <c r="AG34">
        <f t="shared" ca="1" si="11"/>
        <v>-0.67035085406766515</v>
      </c>
      <c r="AH34" s="28">
        <f t="shared" ca="1" si="12"/>
        <v>0</v>
      </c>
      <c r="AI34" s="28">
        <f t="shared" ca="1" si="13"/>
        <v>0</v>
      </c>
      <c r="AJ34" s="12">
        <f t="shared" ca="1" si="29"/>
        <v>1.7224597067445963E-2</v>
      </c>
      <c r="AK34" s="29">
        <f t="shared" ca="1" si="30"/>
        <v>0.96050758898733535</v>
      </c>
      <c r="AL34" s="12">
        <f t="shared" ca="1" si="25"/>
        <v>-2.516076789347288E-4</v>
      </c>
    </row>
    <row r="35" spans="8:38" x14ac:dyDescent="0.25">
      <c r="H35">
        <f t="shared" si="26"/>
        <v>2.4640657084188913</v>
      </c>
      <c r="I35" s="15">
        <f t="shared" si="27"/>
        <v>44318</v>
      </c>
      <c r="J35">
        <f t="shared" si="32"/>
        <v>0.52840520191649554</v>
      </c>
      <c r="K35" s="16">
        <f t="shared" ca="1" si="14"/>
        <v>4.8151015404421904E-2</v>
      </c>
      <c r="L35" s="11">
        <f t="shared" si="15"/>
        <v>0.52148597037205535</v>
      </c>
      <c r="M35" s="11">
        <f t="shared" si="16"/>
        <v>0.9995945716046114</v>
      </c>
      <c r="N35" s="11">
        <f t="shared" ca="1" si="17"/>
        <v>0.97480718199687011</v>
      </c>
      <c r="O35" s="11">
        <f t="shared" ca="1" si="18"/>
        <v>-0.50834826922928655</v>
      </c>
      <c r="P35">
        <f t="shared" ca="1" si="1"/>
        <v>0.97480718199687011</v>
      </c>
      <c r="Q35" s="26">
        <f t="shared" ca="1" si="19"/>
        <v>0.96455956260925169</v>
      </c>
      <c r="R35">
        <f t="shared" ca="1" si="2"/>
        <v>-0.50300427948893089</v>
      </c>
      <c r="S35" s="11">
        <f t="shared" ca="1" si="28"/>
        <v>0</v>
      </c>
      <c r="T35" s="11">
        <f t="shared" ca="1" si="3"/>
        <v>-0.56455956260925166</v>
      </c>
      <c r="U35" s="11">
        <f t="shared" ca="1" si="20"/>
        <v>0.96455956260925169</v>
      </c>
      <c r="V35" s="2">
        <f t="shared" ca="1" si="4"/>
        <v>0.87209281652331161</v>
      </c>
      <c r="W35" s="2">
        <f t="shared" ca="1" si="21"/>
        <v>0.87209281652331161</v>
      </c>
      <c r="X35" s="2">
        <f t="shared" ca="1" si="22"/>
        <v>0.87701762519529625</v>
      </c>
      <c r="Y35" s="27">
        <f t="shared" ca="1" si="5"/>
        <v>-1.658731823626922</v>
      </c>
      <c r="Z35" s="11">
        <f t="shared" ca="1" si="6"/>
        <v>-0.47209281652331159</v>
      </c>
      <c r="AA35">
        <f t="shared" ca="1" si="7"/>
        <v>0.71147607626888187</v>
      </c>
      <c r="AB35">
        <f t="shared" ca="1" si="23"/>
        <v>0.71147607626888187</v>
      </c>
      <c r="AC35">
        <f t="shared" ca="1" si="24"/>
        <v>0.7153961978545722</v>
      </c>
      <c r="AD35">
        <f t="shared" ca="1" si="8"/>
        <v>-3.1456625589440108</v>
      </c>
      <c r="AE35" s="11">
        <f t="shared" ca="1" si="9"/>
        <v>-0.31147607626888185</v>
      </c>
      <c r="AF35">
        <f t="shared" ca="1" si="10"/>
        <v>1.6720960082600151</v>
      </c>
      <c r="AG35">
        <f t="shared" ca="1" si="11"/>
        <v>-0.7218048786306307</v>
      </c>
      <c r="AH35" s="28">
        <f t="shared" ca="1" si="12"/>
        <v>0</v>
      </c>
      <c r="AI35" s="28">
        <f t="shared" ca="1" si="13"/>
        <v>0</v>
      </c>
      <c r="AJ35" s="12">
        <f t="shared" ca="1" si="29"/>
        <v>1.9620238973964099E-2</v>
      </c>
      <c r="AK35" s="29">
        <f t="shared" ca="1" si="30"/>
        <v>0.96429625343496972</v>
      </c>
      <c r="AL35" s="12">
        <f t="shared" ca="1" si="25"/>
        <v>-2.633091742819671E-4</v>
      </c>
    </row>
    <row r="36" spans="8:38" x14ac:dyDescent="0.25">
      <c r="H36">
        <f t="shared" si="26"/>
        <v>2.5462012320328542</v>
      </c>
      <c r="I36" s="15">
        <f t="shared" si="27"/>
        <v>44348</v>
      </c>
      <c r="J36">
        <f t="shared" si="32"/>
        <v>0.4462696783025325</v>
      </c>
      <c r="K36" s="16">
        <f t="shared" ca="1" si="14"/>
        <v>4.8432756977957694E-2</v>
      </c>
      <c r="L36" s="11">
        <f t="shared" si="15"/>
        <v>0.4413275893147528</v>
      </c>
      <c r="M36" s="11">
        <f t="shared" si="16"/>
        <v>0.99970934394623234</v>
      </c>
      <c r="N36" s="11">
        <f t="shared" ca="1" si="17"/>
        <v>0.97856759903534518</v>
      </c>
      <c r="O36" s="11">
        <f t="shared" ca="1" si="18"/>
        <v>-0.43186887946379449</v>
      </c>
      <c r="P36">
        <f t="shared" ca="1" si="1"/>
        <v>0.97856759903534518</v>
      </c>
      <c r="Q36" s="26">
        <f t="shared" ca="1" si="19"/>
        <v>0.96987236002188126</v>
      </c>
      <c r="R36">
        <f t="shared" ca="1" si="2"/>
        <v>-0.42803143059146687</v>
      </c>
      <c r="S36" s="11">
        <f t="shared" ca="1" si="28"/>
        <v>0</v>
      </c>
      <c r="T36" s="11">
        <f t="shared" ca="1" si="3"/>
        <v>-0.56987236002188124</v>
      </c>
      <c r="U36" s="11">
        <f t="shared" ca="1" si="20"/>
        <v>0.96987236002188126</v>
      </c>
      <c r="V36" s="2">
        <f t="shared" ca="1" si="4"/>
        <v>0.87162560800337374</v>
      </c>
      <c r="W36" s="2">
        <f t="shared" ca="1" si="21"/>
        <v>0.87162560800337374</v>
      </c>
      <c r="X36" s="2">
        <f t="shared" ca="1" si="22"/>
        <v>0.87656617137557347</v>
      </c>
      <c r="Y36" s="27">
        <f t="shared" ca="1" si="5"/>
        <v>-1.6578431869754011</v>
      </c>
      <c r="Z36" s="11">
        <f t="shared" ca="1" si="6"/>
        <v>-0.47162560800337372</v>
      </c>
      <c r="AA36">
        <f t="shared" ca="1" si="7"/>
        <v>0.71059036411646848</v>
      </c>
      <c r="AB36">
        <f t="shared" ca="1" si="23"/>
        <v>0.71059036411646848</v>
      </c>
      <c r="AC36">
        <f t="shared" ca="1" si="24"/>
        <v>0.71451851134846933</v>
      </c>
      <c r="AD36">
        <f t="shared" ca="1" si="8"/>
        <v>-3.1417465431442113</v>
      </c>
      <c r="AE36" s="11">
        <f t="shared" ca="1" si="9"/>
        <v>-0.31059036411646845</v>
      </c>
      <c r="AF36">
        <f t="shared" ca="1" si="10"/>
        <v>1.7143372087777298</v>
      </c>
      <c r="AG36">
        <f t="shared" ca="1" si="11"/>
        <v>-0.7683849725010452</v>
      </c>
      <c r="AH36" s="28">
        <f t="shared" ca="1" si="12"/>
        <v>0</v>
      </c>
      <c r="AI36" s="28">
        <f t="shared" ca="1" si="13"/>
        <v>0</v>
      </c>
      <c r="AJ36" s="12">
        <f t="shared" ca="1" si="29"/>
        <v>2.1359090070166602E-2</v>
      </c>
      <c r="AK36" s="29">
        <f t="shared" ca="1" si="30"/>
        <v>0.96961234460272161</v>
      </c>
      <c r="AL36" s="12">
        <f t="shared" ca="1" si="25"/>
        <v>-2.6001541915965376E-4</v>
      </c>
    </row>
    <row r="37" spans="8:38" x14ac:dyDescent="0.25">
      <c r="H37">
        <f t="shared" si="26"/>
        <v>2.6283367556468171</v>
      </c>
      <c r="I37" s="15">
        <f t="shared" si="27"/>
        <v>44378</v>
      </c>
      <c r="J37">
        <f t="shared" si="32"/>
        <v>0.36413415468856947</v>
      </c>
      <c r="K37" s="16">
        <f t="shared" ca="1" si="14"/>
        <v>5.3718766431249607E-2</v>
      </c>
      <c r="L37" s="11">
        <f t="shared" si="15"/>
        <v>0.36083933884112795</v>
      </c>
      <c r="M37" s="11">
        <f t="shared" si="16"/>
        <v>0.99980550517660927</v>
      </c>
      <c r="N37" s="11">
        <f t="shared" ca="1" si="17"/>
        <v>0.98061205347457403</v>
      </c>
      <c r="O37" s="11">
        <f t="shared" ca="1" si="18"/>
        <v>-0.35384340503540612</v>
      </c>
      <c r="P37">
        <f t="shared" ca="1" si="1"/>
        <v>0.98061205347457403</v>
      </c>
      <c r="Q37" s="26">
        <f t="shared" ca="1" si="19"/>
        <v>0.97349650823089462</v>
      </c>
      <c r="R37">
        <f t="shared" ca="1" si="2"/>
        <v>-0.35127583639418269</v>
      </c>
      <c r="S37" s="11">
        <f t="shared" ca="1" si="28"/>
        <v>0</v>
      </c>
      <c r="T37" s="11">
        <f t="shared" ca="1" si="3"/>
        <v>-0.5734965082308946</v>
      </c>
      <c r="U37" s="11">
        <f t="shared" ca="1" si="20"/>
        <v>0.97349650823089462</v>
      </c>
      <c r="V37" s="2">
        <f t="shared" ca="1" si="4"/>
        <v>0.86290613971643226</v>
      </c>
      <c r="W37" s="2">
        <f t="shared" ca="1" si="21"/>
        <v>0.86290613971643226</v>
      </c>
      <c r="X37" s="2">
        <f t="shared" ca="1" si="22"/>
        <v>0.86813898720972349</v>
      </c>
      <c r="Y37" s="27">
        <f t="shared" ca="1" si="5"/>
        <v>-1.6412586454465365</v>
      </c>
      <c r="Z37" s="11">
        <f t="shared" ca="1" si="6"/>
        <v>-0.46290613971643224</v>
      </c>
      <c r="AA37">
        <f t="shared" ca="1" si="7"/>
        <v>0.69417562486774631</v>
      </c>
      <c r="AB37">
        <f t="shared" ca="1" si="23"/>
        <v>0.69417562486774631</v>
      </c>
      <c r="AC37">
        <f t="shared" ca="1" si="24"/>
        <v>0.69824961723708456</v>
      </c>
      <c r="AD37">
        <f t="shared" ca="1" si="8"/>
        <v>-3.0691717477409433</v>
      </c>
      <c r="AE37" s="11">
        <f t="shared" ca="1" si="9"/>
        <v>-0.29417562486774629</v>
      </c>
      <c r="AF37">
        <f t="shared" ca="1" si="10"/>
        <v>1.7664856408002603</v>
      </c>
      <c r="AG37">
        <f t="shared" ca="1" si="11"/>
        <v>-0.83018618801696165</v>
      </c>
      <c r="AH37" s="28">
        <f t="shared" ca="1" si="12"/>
        <v>0</v>
      </c>
      <c r="AI37" s="28">
        <f t="shared" ca="1" si="13"/>
        <v>0</v>
      </c>
      <c r="AJ37" s="12">
        <f t="shared" ca="1" si="29"/>
        <v>2.5136371586063605E-2</v>
      </c>
      <c r="AK37" s="29">
        <f t="shared" ca="1" si="30"/>
        <v>0.97315266093027775</v>
      </c>
      <c r="AL37" s="12">
        <f t="shared" ca="1" si="25"/>
        <v>-3.4384730061687296E-4</v>
      </c>
    </row>
    <row r="38" spans="8:38" x14ac:dyDescent="0.25">
      <c r="H38">
        <f t="shared" si="26"/>
        <v>2.7104722792607805</v>
      </c>
      <c r="I38" s="15">
        <f t="shared" si="27"/>
        <v>44408</v>
      </c>
      <c r="J38">
        <f t="shared" si="32"/>
        <v>0.28199863107460643</v>
      </c>
      <c r="K38" s="16">
        <f t="shared" ca="1" si="14"/>
        <v>5.8231162562120568E-2</v>
      </c>
      <c r="L38" s="11">
        <f t="shared" si="15"/>
        <v>0.28001986146578783</v>
      </c>
      <c r="M38" s="11">
        <f t="shared" si="16"/>
        <v>0.99988276001968945</v>
      </c>
      <c r="N38" s="11">
        <f t="shared" ca="1" si="17"/>
        <v>0.98371099540394213</v>
      </c>
      <c r="O38" s="11">
        <f t="shared" ca="1" si="18"/>
        <v>-0.27545861665538413</v>
      </c>
      <c r="P38">
        <f t="shared" ca="1" si="1"/>
        <v>0.98371099540394213</v>
      </c>
      <c r="Q38" s="26">
        <f t="shared" ca="1" si="19"/>
        <v>0.97817850852503208</v>
      </c>
      <c r="R38">
        <f t="shared" ca="1" si="2"/>
        <v>-0.27390941044599043</v>
      </c>
      <c r="S38" s="11">
        <f t="shared" ca="1" si="28"/>
        <v>0</v>
      </c>
      <c r="T38" s="11">
        <f t="shared" ca="1" si="3"/>
        <v>-0.57817850852503205</v>
      </c>
      <c r="U38" s="11">
        <f t="shared" ca="1" si="20"/>
        <v>0.97817850852503208</v>
      </c>
      <c r="V38" s="2">
        <f t="shared" ca="1" si="4"/>
        <v>0.85553182136642003</v>
      </c>
      <c r="W38" s="2">
        <f t="shared" ca="1" si="21"/>
        <v>0.85553182136642003</v>
      </c>
      <c r="X38" s="2">
        <f t="shared" ca="1" si="22"/>
        <v>0.86100926075331019</v>
      </c>
      <c r="Y38" s="27">
        <f t="shared" ca="1" si="5"/>
        <v>-1.6272325965066019</v>
      </c>
      <c r="Z38" s="11">
        <f t="shared" ca="1" si="6"/>
        <v>-0.45553182136642001</v>
      </c>
      <c r="AA38">
        <f t="shared" ca="1" si="7"/>
        <v>0.68046354405845455</v>
      </c>
      <c r="AB38">
        <f t="shared" ca="1" si="23"/>
        <v>0.68046354405845455</v>
      </c>
      <c r="AC38">
        <f t="shared" ca="1" si="24"/>
        <v>0.68465509681537828</v>
      </c>
      <c r="AD38">
        <f t="shared" ca="1" si="8"/>
        <v>-3.0085462669332053</v>
      </c>
      <c r="AE38" s="11">
        <f t="shared" ca="1" si="9"/>
        <v>-0.28046354405845453</v>
      </c>
      <c r="AF38">
        <f t="shared" ca="1" si="10"/>
        <v>1.8188803911696922</v>
      </c>
      <c r="AG38">
        <f t="shared" ca="1" si="11"/>
        <v>-0.89273416890139579</v>
      </c>
      <c r="AH38" s="28">
        <f t="shared" ca="1" si="12"/>
        <v>0</v>
      </c>
      <c r="AI38" s="28">
        <f t="shared" ca="1" si="13"/>
        <v>0</v>
      </c>
      <c r="AJ38" s="12">
        <f t="shared" ca="1" si="29"/>
        <v>2.9109990653578277E-2</v>
      </c>
      <c r="AK38" s="29">
        <f t="shared" ca="1" si="30"/>
        <v>0.97774698808592886</v>
      </c>
      <c r="AL38" s="12">
        <f t="shared" ca="1" si="25"/>
        <v>-4.315204391032168E-4</v>
      </c>
    </row>
    <row r="39" spans="8:38" x14ac:dyDescent="0.25">
      <c r="H39">
        <f t="shared" si="26"/>
        <v>2.7926078028747434</v>
      </c>
      <c r="I39" s="15">
        <f t="shared" si="27"/>
        <v>44438</v>
      </c>
      <c r="J39">
        <f t="shared" si="32"/>
        <v>0.1998631074606434</v>
      </c>
      <c r="K39" s="16">
        <f t="shared" ca="1" si="14"/>
        <v>6.0165272981625224E-2</v>
      </c>
      <c r="L39" s="11">
        <f t="shared" si="15"/>
        <v>0.19886779411697919</v>
      </c>
      <c r="M39" s="11">
        <f t="shared" si="16"/>
        <v>0.99994081121952438</v>
      </c>
      <c r="N39" s="11">
        <f t="shared" ca="1" si="17"/>
        <v>0.9880478752746884</v>
      </c>
      <c r="O39" s="11">
        <f t="shared" ca="1" si="18"/>
        <v>-0.19649090143784548</v>
      </c>
      <c r="P39">
        <f t="shared" ca="1" si="1"/>
        <v>0.9880478752746884</v>
      </c>
      <c r="Q39" s="26">
        <f t="shared" ca="1" si="19"/>
        <v>0.98410627196038825</v>
      </c>
      <c r="R39">
        <f t="shared" ca="1" si="2"/>
        <v>-0.19570704348144644</v>
      </c>
      <c r="S39" s="11">
        <f t="shared" ca="1" si="28"/>
        <v>0</v>
      </c>
      <c r="T39" s="11">
        <f t="shared" ca="1" si="3"/>
        <v>-0.58410627196038822</v>
      </c>
      <c r="U39" s="11">
        <f t="shared" ca="1" si="20"/>
        <v>0.98410627196038825</v>
      </c>
      <c r="V39" s="2">
        <f t="shared" ca="1" si="4"/>
        <v>0.85239035564906507</v>
      </c>
      <c r="W39" s="2">
        <f t="shared" ca="1" si="21"/>
        <v>0.85239035564906507</v>
      </c>
      <c r="X39" s="2">
        <f t="shared" ca="1" si="22"/>
        <v>0.85797126158947923</v>
      </c>
      <c r="Y39" s="27">
        <f t="shared" ca="1" si="5"/>
        <v>-1.6212574880554356</v>
      </c>
      <c r="Z39" s="11">
        <f t="shared" ca="1" si="6"/>
        <v>-0.45239035564906505</v>
      </c>
      <c r="AA39">
        <f t="shared" ca="1" si="7"/>
        <v>0.67466949207626359</v>
      </c>
      <c r="AB39">
        <f t="shared" ca="1" si="23"/>
        <v>0.67466949207626359</v>
      </c>
      <c r="AC39">
        <f t="shared" ca="1" si="24"/>
        <v>0.6789095306893651</v>
      </c>
      <c r="AD39">
        <f t="shared" ca="1" si="8"/>
        <v>-2.9829289159176451</v>
      </c>
      <c r="AE39" s="11">
        <f t="shared" ca="1" si="9"/>
        <v>-0.27466949207626357</v>
      </c>
      <c r="AF39">
        <f t="shared" ca="1" si="10"/>
        <v>1.8676265897904345</v>
      </c>
      <c r="AG39">
        <f t="shared" ca="1" si="11"/>
        <v>-0.94946833462722924</v>
      </c>
      <c r="AH39" s="28">
        <f t="shared" ca="1" si="12"/>
        <v>0</v>
      </c>
      <c r="AI39" s="28">
        <f t="shared" ca="1" si="13"/>
        <v>0</v>
      </c>
      <c r="AJ39" s="12">
        <f t="shared" ca="1" si="29"/>
        <v>3.2249643465558711E-2</v>
      </c>
      <c r="AK39" s="29">
        <f t="shared" ca="1" si="30"/>
        <v>0.98361921749122905</v>
      </c>
      <c r="AL39" s="12">
        <f t="shared" ca="1" si="25"/>
        <v>-4.8705446915919826E-4</v>
      </c>
    </row>
    <row r="40" spans="8:38" x14ac:dyDescent="0.25">
      <c r="H40">
        <f t="shared" si="26"/>
        <v>2.8747433264887063</v>
      </c>
      <c r="I40" s="15">
        <f t="shared" si="27"/>
        <v>44468</v>
      </c>
      <c r="J40">
        <f t="shared" si="32"/>
        <v>0.11772758384668036</v>
      </c>
      <c r="K40" s="16">
        <f t="shared" ca="1" si="14"/>
        <v>5.6359422271911437E-2</v>
      </c>
      <c r="L40" s="11">
        <f t="shared" si="15"/>
        <v>0.11738176811361134</v>
      </c>
      <c r="M40" s="11">
        <f t="shared" si="16"/>
        <v>0.99997935956870709</v>
      </c>
      <c r="N40" s="11">
        <f t="shared" ca="1" si="17"/>
        <v>0.99338576172808968</v>
      </c>
      <c r="O40" s="11">
        <f t="shared" ca="1" si="18"/>
        <v>-0.11660537713052979</v>
      </c>
      <c r="P40">
        <f t="shared" ca="1" si="1"/>
        <v>0.99338576172808968</v>
      </c>
      <c r="Q40" s="26">
        <f t="shared" ca="1" si="19"/>
        <v>0.99104953507947724</v>
      </c>
      <c r="R40">
        <f t="shared" ca="1" si="2"/>
        <v>-0.11633114671580153</v>
      </c>
      <c r="S40" s="11">
        <f t="shared" ca="1" si="28"/>
        <v>0</v>
      </c>
      <c r="T40" s="11">
        <f t="shared" ca="1" si="3"/>
        <v>-0.59104953507947722</v>
      </c>
      <c r="U40" s="11">
        <f t="shared" ca="1" si="20"/>
        <v>0.99104953507947724</v>
      </c>
      <c r="V40" s="2">
        <f t="shared" ca="1" si="4"/>
        <v>0.85858300617850125</v>
      </c>
      <c r="W40" s="2">
        <f t="shared" ca="1" si="21"/>
        <v>0.85858300617850125</v>
      </c>
      <c r="X40" s="2">
        <f t="shared" ca="1" si="22"/>
        <v>0.86395953433411143</v>
      </c>
      <c r="Y40" s="27">
        <f t="shared" ca="1" si="5"/>
        <v>-1.6330359895075244</v>
      </c>
      <c r="Z40" s="11">
        <f t="shared" ca="1" si="6"/>
        <v>-0.45858300617850123</v>
      </c>
      <c r="AA40">
        <f t="shared" ca="1" si="7"/>
        <v>0.68611812646971382</v>
      </c>
      <c r="AB40">
        <f t="shared" ca="1" si="23"/>
        <v>0.68611812646971382</v>
      </c>
      <c r="AC40">
        <f t="shared" ca="1" si="24"/>
        <v>0.69026167649066517</v>
      </c>
      <c r="AD40">
        <f t="shared" ca="1" si="8"/>
        <v>-3.0335469785113687</v>
      </c>
      <c r="AE40" s="11">
        <f t="shared" ca="1" si="9"/>
        <v>-0.2861181264697138</v>
      </c>
      <c r="AF40">
        <f t="shared" ca="1" si="10"/>
        <v>1.9046514976905808</v>
      </c>
      <c r="AG40">
        <f t="shared" ca="1" si="11"/>
        <v>-0.98697442884222797</v>
      </c>
      <c r="AH40" s="28">
        <f t="shared" ca="1" si="12"/>
        <v>0</v>
      </c>
      <c r="AI40" s="28">
        <f t="shared" ca="1" si="13"/>
        <v>0</v>
      </c>
      <c r="AJ40" s="12">
        <f t="shared" ca="1" si="29"/>
        <v>3.2354495601176148E-2</v>
      </c>
      <c r="AK40" s="29">
        <f t="shared" ca="1" si="30"/>
        <v>0.99047485821999448</v>
      </c>
      <c r="AL40" s="12">
        <f t="shared" ca="1" si="25"/>
        <v>-5.7467685948275893E-4</v>
      </c>
    </row>
    <row r="41" spans="8:38" x14ac:dyDescent="0.25">
      <c r="H41">
        <f t="shared" si="26"/>
        <v>2.9568788501026693</v>
      </c>
      <c r="I41" s="15">
        <f t="shared" si="27"/>
        <v>44498</v>
      </c>
      <c r="J41">
        <f t="shared" si="32"/>
        <v>3.5592060232717319E-2</v>
      </c>
      <c r="K41" s="16">
        <f t="shared" ca="1" si="14"/>
        <v>5.3297294859195855E-2</v>
      </c>
      <c r="L41" s="11">
        <f t="shared" si="15"/>
        <v>3.556040914217018E-2</v>
      </c>
      <c r="M41" s="11">
        <f t="shared" si="16"/>
        <v>0.99999810393821176</v>
      </c>
      <c r="N41" s="11">
        <f t="shared" ca="1" si="17"/>
        <v>0.99810462881391215</v>
      </c>
      <c r="O41" s="11">
        <f t="shared" ca="1" si="18"/>
        <v>-3.5493008967316615E-2</v>
      </c>
      <c r="P41">
        <f t="shared" ca="1" si="1"/>
        <v>0.99810462881391215</v>
      </c>
      <c r="Q41" s="26">
        <f t="shared" ca="1" si="19"/>
        <v>0.99739438963131466</v>
      </c>
      <c r="R41">
        <f t="shared" ca="1" si="2"/>
        <v>-3.5467752571394652E-2</v>
      </c>
      <c r="S41" s="11">
        <f t="shared" ca="1" si="28"/>
        <v>0</v>
      </c>
      <c r="T41" s="11">
        <f t="shared" ca="1" si="3"/>
        <v>-0.59739438963131464</v>
      </c>
      <c r="U41" s="11">
        <f t="shared" ca="1" si="20"/>
        <v>0.99739438963131466</v>
      </c>
      <c r="V41" s="2">
        <f t="shared" ca="1" si="4"/>
        <v>0.86359816091827113</v>
      </c>
      <c r="W41" s="2">
        <f t="shared" ca="1" si="21"/>
        <v>0.86359816091827113</v>
      </c>
      <c r="X41" s="2">
        <f t="shared" ca="1" si="22"/>
        <v>0.8688079326446061</v>
      </c>
      <c r="Y41" s="27">
        <f t="shared" ca="1" si="5"/>
        <v>-1.6425748787285519</v>
      </c>
      <c r="Z41" s="11">
        <f t="shared" ca="1" si="6"/>
        <v>-0.46359816091827111</v>
      </c>
      <c r="AA41">
        <f t="shared" ca="1" si="7"/>
        <v>0.69547039951500067</v>
      </c>
      <c r="AB41">
        <f t="shared" ca="1" si="23"/>
        <v>0.69547039951500067</v>
      </c>
      <c r="AC41">
        <f t="shared" ca="1" si="24"/>
        <v>0.69953308875169362</v>
      </c>
      <c r="AD41">
        <f t="shared" ca="1" si="8"/>
        <v>-3.0748963592436902</v>
      </c>
      <c r="AE41" s="11">
        <f t="shared" ca="1" si="9"/>
        <v>-0.29547039951500065</v>
      </c>
      <c r="AF41">
        <f t="shared" ca="1" si="10"/>
        <v>1.94264748395156</v>
      </c>
      <c r="AG41">
        <f t="shared" ca="1" si="11"/>
        <v>-1.0262057104158122</v>
      </c>
      <c r="AH41" s="28">
        <f t="shared" ca="1" si="12"/>
        <v>0</v>
      </c>
      <c r="AI41" s="28">
        <f t="shared" ca="1" si="13"/>
        <v>0</v>
      </c>
      <c r="AJ41" s="12">
        <f t="shared" ca="1" si="29"/>
        <v>3.2791648692555006E-2</v>
      </c>
      <c r="AK41" s="29">
        <f t="shared" ca="1" si="30"/>
        <v>0.99676274773816886</v>
      </c>
      <c r="AL41" s="12">
        <f t="shared" ca="1" si="25"/>
        <v>-6.3164189314579566E-4</v>
      </c>
    </row>
    <row r="42" spans="8:38" x14ac:dyDescent="0.25">
      <c r="H42">
        <f t="shared" si="26"/>
        <v>2.9924709103353866</v>
      </c>
      <c r="I42" s="15">
        <v>44511</v>
      </c>
      <c r="J42">
        <f t="shared" si="32"/>
        <v>0</v>
      </c>
      <c r="K42" s="16">
        <f t="shared" ca="1" si="14"/>
        <v>5.5090168069388469E-2</v>
      </c>
      <c r="L42" s="11">
        <f t="shared" si="15"/>
        <v>0</v>
      </c>
      <c r="M42" s="11">
        <f t="shared" si="16"/>
        <v>1</v>
      </c>
      <c r="N42" s="11">
        <f t="shared" ca="1" si="17"/>
        <v>1</v>
      </c>
      <c r="O42" s="11">
        <f t="shared" ca="1" si="18"/>
        <v>0</v>
      </c>
      <c r="P42">
        <f t="shared" ca="1" si="1"/>
        <v>1</v>
      </c>
      <c r="Q42" s="26">
        <f t="shared" ca="1" si="19"/>
        <v>1</v>
      </c>
      <c r="R42">
        <f t="shared" ca="1" si="2"/>
        <v>0</v>
      </c>
      <c r="S42" s="11">
        <f t="shared" ca="1" si="28"/>
        <v>0</v>
      </c>
      <c r="T42" s="11">
        <f t="shared" ca="1" si="3"/>
        <v>-0.6</v>
      </c>
      <c r="U42" s="11">
        <f t="shared" ca="1" si="20"/>
        <v>1</v>
      </c>
      <c r="V42" s="2">
        <f t="shared" ca="1" si="4"/>
        <v>0.86065824792306267</v>
      </c>
      <c r="W42" s="2">
        <f t="shared" ca="1" si="21"/>
        <v>0.86065824792306267</v>
      </c>
      <c r="X42" s="2">
        <f t="shared" ca="1" si="22"/>
        <v>0.86295390304734387</v>
      </c>
      <c r="Y42" s="27">
        <f t="shared" ca="1" si="5"/>
        <v>-1.636983126163398</v>
      </c>
      <c r="Z42" s="11">
        <f t="shared" ca="1" si="6"/>
        <v>-0.46065824792306265</v>
      </c>
      <c r="AA42">
        <f t="shared" ca="1" si="7"/>
        <v>0.68997929259028545</v>
      </c>
      <c r="AB42">
        <f t="shared" ca="1" si="23"/>
        <v>0.68997929259028545</v>
      </c>
      <c r="AC42">
        <f t="shared" ca="1" si="24"/>
        <v>0.69175678743104108</v>
      </c>
      <c r="AD42">
        <f t="shared" ca="1" si="8"/>
        <v>-3.0506184249091741</v>
      </c>
      <c r="AE42" s="11">
        <f t="shared" ca="1" si="9"/>
        <v>-0.28997929259028543</v>
      </c>
      <c r="AF42">
        <f t="shared" ca="1" si="10"/>
        <v>1.966869159054291</v>
      </c>
      <c r="AG42">
        <f t="shared" ca="1" si="11"/>
        <v>-1.0554357104949721</v>
      </c>
      <c r="AH42" s="28">
        <f t="shared" ca="1" si="12"/>
        <v>0</v>
      </c>
      <c r="AI42" s="28">
        <f t="shared" ca="1" si="13"/>
        <v>0</v>
      </c>
      <c r="AJ42" s="12">
        <f t="shared" ca="1" si="29"/>
        <v>3.4772083066034146E-2</v>
      </c>
      <c r="AK42" s="29">
        <f t="shared" ca="1" si="30"/>
        <v>0.99934546248976175</v>
      </c>
      <c r="AL42" s="12">
        <f t="shared" ca="1" si="25"/>
        <v>-6.5453751023825113E-4</v>
      </c>
    </row>
    <row r="43" spans="8:38" x14ac:dyDescent="0.25">
      <c r="I43" s="15"/>
      <c r="K43" s="16"/>
      <c r="L43" s="16"/>
      <c r="M43" s="16"/>
      <c r="N43" s="16"/>
      <c r="O43" s="16"/>
      <c r="S43" s="11"/>
      <c r="T43" s="11"/>
      <c r="U43" s="11"/>
      <c r="Y43" s="27"/>
      <c r="Z43" s="11"/>
      <c r="AE43" s="11"/>
      <c r="AH43" s="28"/>
      <c r="AI43" s="28"/>
      <c r="AJ43" s="12"/>
      <c r="AK43" s="29"/>
      <c r="AL43" s="12"/>
    </row>
    <row r="44" spans="8:38" x14ac:dyDescent="0.25">
      <c r="I44" s="15"/>
      <c r="K44" s="16"/>
      <c r="L44" s="16"/>
      <c r="M44" s="16"/>
      <c r="N44" s="16"/>
      <c r="O44" s="16"/>
      <c r="S44" s="11"/>
      <c r="T44" s="11"/>
      <c r="U44" s="11"/>
      <c r="Y44" s="27"/>
      <c r="Z44" s="11"/>
      <c r="AE44" s="11"/>
      <c r="AH44" s="28"/>
      <c r="AI44" s="28"/>
      <c r="AJ44" s="12"/>
      <c r="AK44" s="29"/>
      <c r="AL44" s="12"/>
    </row>
    <row r="45" spans="8:38" x14ac:dyDescent="0.25">
      <c r="I45" s="15"/>
      <c r="K45" s="16"/>
      <c r="L45" s="16"/>
      <c r="M45" s="16"/>
      <c r="N45" s="16"/>
      <c r="O45" s="16"/>
      <c r="S45" s="11"/>
      <c r="T45" s="11"/>
      <c r="U45" s="11"/>
      <c r="Y45" s="27"/>
      <c r="Z45" s="11"/>
      <c r="AE45" s="11"/>
      <c r="AH45" s="28"/>
      <c r="AI45" s="28"/>
      <c r="AJ45" s="12"/>
      <c r="AK45" s="29"/>
      <c r="AL45" s="12"/>
    </row>
    <row r="46" spans="8:38" x14ac:dyDescent="0.25">
      <c r="I46" s="15"/>
      <c r="K46" s="16"/>
      <c r="L46" s="16"/>
      <c r="M46" s="16"/>
      <c r="N46" s="16"/>
      <c r="O46" s="16"/>
      <c r="S46" s="11"/>
      <c r="T46" s="11"/>
      <c r="U46" s="11"/>
      <c r="Y46" s="27"/>
      <c r="Z46" s="11"/>
      <c r="AE46" s="11"/>
      <c r="AH46" s="28"/>
      <c r="AI46" s="28"/>
      <c r="AJ46" s="12"/>
      <c r="AK46" s="29"/>
      <c r="AL46" s="12"/>
    </row>
    <row r="47" spans="8:38" x14ac:dyDescent="0.25">
      <c r="I47" s="15"/>
      <c r="K47" s="16"/>
      <c r="L47" s="16"/>
      <c r="M47" s="16"/>
      <c r="N47" s="16"/>
      <c r="O47" s="16"/>
      <c r="S47" s="11"/>
      <c r="T47" s="11"/>
      <c r="U47" s="11"/>
      <c r="Y47" s="27"/>
      <c r="Z47" s="11"/>
      <c r="AE47" s="11"/>
      <c r="AH47" s="28"/>
      <c r="AI47" s="28"/>
      <c r="AJ47" s="12"/>
      <c r="AK47" s="29"/>
      <c r="AL47" s="12"/>
    </row>
    <row r="48" spans="8:38" x14ac:dyDescent="0.25">
      <c r="I48" s="15"/>
      <c r="K48" s="16"/>
      <c r="L48" s="16"/>
      <c r="M48" s="16"/>
      <c r="N48" s="16"/>
      <c r="O48" s="16"/>
      <c r="S48" s="11"/>
      <c r="T48" s="11"/>
      <c r="U48" s="11"/>
      <c r="Y48" s="27"/>
      <c r="Z48" s="11"/>
      <c r="AE48" s="11"/>
      <c r="AH48" s="28"/>
      <c r="AI48" s="28"/>
      <c r="AJ48" s="12"/>
      <c r="AK48" s="29"/>
      <c r="AL48" s="12"/>
    </row>
    <row r="49" spans="9:38" x14ac:dyDescent="0.25">
      <c r="I49" s="15"/>
      <c r="K49" s="16"/>
      <c r="L49" s="16"/>
      <c r="M49" s="16"/>
      <c r="N49" s="16"/>
      <c r="O49" s="16"/>
      <c r="S49" s="11"/>
      <c r="T49" s="11"/>
      <c r="U49" s="11"/>
      <c r="Y49" s="27"/>
      <c r="Z49" s="11"/>
      <c r="AE49" s="11"/>
      <c r="AH49" s="28"/>
      <c r="AI49" s="28"/>
      <c r="AJ49" s="12"/>
      <c r="AK49" s="29"/>
      <c r="AL49" s="12"/>
    </row>
    <row r="50" spans="9:38" x14ac:dyDescent="0.25">
      <c r="I50" s="15"/>
      <c r="K50" s="16"/>
      <c r="L50" s="16"/>
      <c r="M50" s="16"/>
      <c r="N50" s="16"/>
      <c r="O50" s="16"/>
      <c r="S50" s="11"/>
      <c r="T50" s="11"/>
      <c r="U50" s="11"/>
      <c r="Y50" s="27"/>
      <c r="Z50" s="11"/>
      <c r="AE50" s="11"/>
      <c r="AH50" s="28"/>
      <c r="AI50" s="28"/>
      <c r="AJ50" s="12"/>
      <c r="AK50" s="29"/>
      <c r="AL50" s="12"/>
    </row>
    <row r="51" spans="9:38" x14ac:dyDescent="0.25">
      <c r="I51" s="15"/>
      <c r="K51" s="16"/>
      <c r="L51" s="16"/>
      <c r="M51" s="16"/>
      <c r="N51" s="16"/>
      <c r="O51" s="16"/>
      <c r="S51" s="11"/>
      <c r="T51" s="11"/>
      <c r="U51" s="11"/>
      <c r="Y51" s="27"/>
      <c r="Z51" s="11"/>
      <c r="AE51" s="11"/>
      <c r="AH51" s="28"/>
      <c r="AI51" s="28"/>
      <c r="AJ51" s="12"/>
      <c r="AK51" s="29"/>
      <c r="AL51" s="12"/>
    </row>
    <row r="52" spans="9:38" x14ac:dyDescent="0.25">
      <c r="I52" s="15"/>
      <c r="K52" s="16"/>
      <c r="L52" s="16"/>
      <c r="M52" s="16"/>
      <c r="N52" s="16"/>
      <c r="O52" s="16"/>
      <c r="S52" s="11"/>
      <c r="T52" s="11"/>
      <c r="U52" s="11"/>
      <c r="Y52" s="27"/>
      <c r="Z52" s="11"/>
      <c r="AE52" s="11"/>
      <c r="AH52" s="28"/>
      <c r="AI52" s="28"/>
      <c r="AJ52" s="12"/>
      <c r="AK52" s="29"/>
      <c r="AL52" s="12"/>
    </row>
    <row r="53" spans="9:38" x14ac:dyDescent="0.25">
      <c r="I53" s="15"/>
      <c r="K53" s="16"/>
      <c r="L53" s="16"/>
      <c r="M53" s="16"/>
      <c r="N53" s="16"/>
      <c r="O53" s="16"/>
      <c r="S53" s="11"/>
      <c r="T53" s="11"/>
      <c r="U53" s="11"/>
      <c r="Y53" s="27"/>
      <c r="Z53" s="11"/>
      <c r="AE53" s="11"/>
      <c r="AH53" s="28"/>
      <c r="AI53" s="28"/>
      <c r="AJ53" s="12"/>
      <c r="AK53" s="29"/>
      <c r="AL53" s="12"/>
    </row>
    <row r="54" spans="9:38" x14ac:dyDescent="0.25">
      <c r="I54" s="15"/>
      <c r="K54" s="16"/>
      <c r="L54" s="16"/>
      <c r="M54" s="16"/>
      <c r="N54" s="16"/>
      <c r="O54" s="16"/>
      <c r="S54" s="11"/>
      <c r="T54" s="11"/>
      <c r="U54" s="11"/>
      <c r="Y54" s="27"/>
      <c r="Z54" s="11"/>
      <c r="AE54" s="11"/>
      <c r="AH54" s="28"/>
      <c r="AI54" s="28"/>
      <c r="AJ54" s="12"/>
      <c r="AK54" s="29"/>
      <c r="AL54" s="12"/>
    </row>
    <row r="55" spans="9:38" x14ac:dyDescent="0.25">
      <c r="I55" s="15"/>
      <c r="K55" s="16"/>
      <c r="L55" s="16"/>
      <c r="M55" s="16"/>
      <c r="N55" s="16"/>
      <c r="O55" s="16"/>
      <c r="S55" s="11"/>
      <c r="T55" s="11"/>
      <c r="U55" s="11"/>
      <c r="Y55" s="27"/>
      <c r="Z55" s="11"/>
      <c r="AE55" s="11"/>
      <c r="AH55" s="28"/>
      <c r="AI55" s="28"/>
      <c r="AJ55" s="12"/>
      <c r="AK55" s="29"/>
      <c r="AL55" s="12"/>
    </row>
    <row r="56" spans="9:38" x14ac:dyDescent="0.25">
      <c r="I56" s="15"/>
      <c r="K56" s="16"/>
      <c r="L56" s="16"/>
      <c r="M56" s="16"/>
      <c r="N56" s="16"/>
      <c r="O56" s="16"/>
      <c r="S56" s="11"/>
      <c r="T56" s="11"/>
      <c r="U56" s="11"/>
      <c r="Y56" s="27"/>
      <c r="Z56" s="11"/>
      <c r="AE56" s="11"/>
      <c r="AH56" s="28"/>
      <c r="AI56" s="28"/>
      <c r="AJ56" s="12"/>
      <c r="AK56" s="29"/>
      <c r="AL56" s="12"/>
    </row>
    <row r="57" spans="9:38" x14ac:dyDescent="0.25">
      <c r="I57" s="15"/>
      <c r="K57" s="16"/>
      <c r="L57" s="16"/>
      <c r="M57" s="16"/>
      <c r="N57" s="16"/>
      <c r="O57" s="16"/>
      <c r="S57" s="11"/>
      <c r="T57" s="11"/>
      <c r="U57" s="11"/>
      <c r="Y57" s="27"/>
      <c r="Z57" s="11"/>
      <c r="AE57" s="11"/>
      <c r="AH57" s="28"/>
      <c r="AI57" s="28"/>
      <c r="AJ57" s="12"/>
      <c r="AK57" s="29"/>
      <c r="AL57" s="12"/>
    </row>
    <row r="58" spans="9:38" x14ac:dyDescent="0.25">
      <c r="I58" s="15"/>
      <c r="K58" s="16"/>
      <c r="L58" s="16"/>
      <c r="M58" s="16"/>
      <c r="N58" s="16"/>
      <c r="O58" s="16"/>
      <c r="S58" s="11"/>
      <c r="T58" s="11"/>
      <c r="U58" s="11"/>
      <c r="Y58" s="27"/>
      <c r="Z58" s="11"/>
      <c r="AE58" s="11"/>
      <c r="AH58" s="28"/>
      <c r="AI58" s="28"/>
      <c r="AJ58" s="12"/>
      <c r="AK58" s="29"/>
      <c r="AL58" s="12"/>
    </row>
    <row r="59" spans="9:38" x14ac:dyDescent="0.25">
      <c r="I59" s="15"/>
      <c r="K59" s="16"/>
      <c r="L59" s="16"/>
      <c r="M59" s="16"/>
      <c r="N59" s="16"/>
      <c r="O59" s="16"/>
      <c r="S59" s="11"/>
      <c r="T59" s="11"/>
      <c r="U59" s="11"/>
      <c r="Y59" s="27"/>
      <c r="Z59" s="11"/>
      <c r="AE59" s="11"/>
      <c r="AH59" s="28"/>
      <c r="AI59" s="28"/>
      <c r="AJ59" s="12"/>
      <c r="AK59" s="29"/>
      <c r="AL59" s="12"/>
    </row>
    <row r="60" spans="9:38" x14ac:dyDescent="0.25">
      <c r="I60" s="15"/>
      <c r="K60" s="16"/>
      <c r="L60" s="16"/>
      <c r="M60" s="16"/>
      <c r="N60" s="16"/>
      <c r="O60" s="16"/>
      <c r="S60" s="11"/>
      <c r="T60" s="11"/>
      <c r="U60" s="11"/>
      <c r="Y60" s="27"/>
      <c r="Z60" s="11"/>
      <c r="AE60" s="11"/>
      <c r="AH60" s="28"/>
      <c r="AI60" s="28"/>
      <c r="AJ60" s="12"/>
      <c r="AK60" s="29"/>
      <c r="AL60" s="12"/>
    </row>
    <row r="61" spans="9:38" x14ac:dyDescent="0.25">
      <c r="I61" s="15"/>
      <c r="K61" s="16"/>
      <c r="L61" s="16"/>
      <c r="M61" s="16"/>
      <c r="N61" s="16"/>
      <c r="O61" s="16"/>
      <c r="S61" s="11"/>
      <c r="T61" s="11"/>
      <c r="U61" s="11"/>
      <c r="Y61" s="27"/>
      <c r="Z61" s="11"/>
      <c r="AE61" s="11"/>
      <c r="AH61" s="28"/>
      <c r="AI61" s="28"/>
      <c r="AJ61" s="12"/>
      <c r="AK61" s="29"/>
      <c r="AL61" s="12"/>
    </row>
    <row r="62" spans="9:38" x14ac:dyDescent="0.25">
      <c r="I62" s="15"/>
      <c r="K62" s="16"/>
      <c r="L62" s="16"/>
      <c r="M62" s="16"/>
      <c r="N62" s="16"/>
      <c r="O62" s="16"/>
      <c r="S62" s="11"/>
      <c r="T62" s="11"/>
      <c r="U62" s="11"/>
      <c r="Y62" s="27"/>
      <c r="Z62" s="11"/>
      <c r="AE62" s="11"/>
      <c r="AH62" s="28"/>
      <c r="AI62" s="28"/>
      <c r="AJ62" s="12"/>
      <c r="AK62" s="29"/>
      <c r="AL62" s="12"/>
    </row>
    <row r="63" spans="9:38" x14ac:dyDescent="0.25">
      <c r="I63" s="15"/>
      <c r="K63" s="16"/>
      <c r="L63" s="16"/>
      <c r="M63" s="16"/>
      <c r="N63" s="16"/>
      <c r="O63" s="16"/>
      <c r="S63" s="11"/>
      <c r="T63" s="11"/>
      <c r="U63" s="11"/>
      <c r="Y63" s="27"/>
      <c r="Z63" s="11"/>
      <c r="AE63" s="11"/>
      <c r="AH63" s="28"/>
      <c r="AI63" s="28"/>
      <c r="AJ63" s="12"/>
      <c r="AK63" s="29"/>
      <c r="AL63" s="12"/>
    </row>
    <row r="64" spans="9:38" x14ac:dyDescent="0.25">
      <c r="I64" s="15"/>
      <c r="K64" s="16"/>
      <c r="L64" s="16"/>
      <c r="M64" s="16"/>
      <c r="N64" s="16"/>
      <c r="O64" s="16"/>
      <c r="S64" s="11"/>
      <c r="T64" s="11"/>
      <c r="U64" s="11"/>
      <c r="Y64" s="27"/>
      <c r="Z64" s="11"/>
      <c r="AE64" s="11"/>
      <c r="AH64" s="28"/>
      <c r="AI64" s="28"/>
      <c r="AJ64" s="12"/>
      <c r="AK64" s="29"/>
      <c r="AL64" s="12"/>
    </row>
    <row r="65" spans="9:38" x14ac:dyDescent="0.25">
      <c r="I65" s="15"/>
      <c r="K65" s="16"/>
      <c r="L65" s="16"/>
      <c r="M65" s="16"/>
      <c r="N65" s="16"/>
      <c r="O65" s="16"/>
      <c r="S65" s="11"/>
      <c r="T65" s="11"/>
      <c r="U65" s="11"/>
      <c r="Y65" s="27"/>
      <c r="Z65" s="11"/>
      <c r="AE65" s="11"/>
      <c r="AH65" s="28"/>
      <c r="AI65" s="28"/>
      <c r="AJ65" s="12"/>
      <c r="AK65" s="29"/>
      <c r="AL65" s="12"/>
    </row>
    <row r="66" spans="9:38" x14ac:dyDescent="0.25">
      <c r="I66" s="15"/>
      <c r="K66" s="16"/>
      <c r="L66" s="16"/>
      <c r="M66" s="16"/>
      <c r="N66" s="16"/>
      <c r="O66" s="16"/>
      <c r="S66" s="11"/>
      <c r="T66" s="11"/>
      <c r="U66" s="11"/>
      <c r="Y66" s="27"/>
      <c r="Z66" s="11"/>
      <c r="AE66" s="11"/>
      <c r="AH66" s="28"/>
      <c r="AI66" s="28"/>
      <c r="AJ66" s="12"/>
      <c r="AK66" s="29"/>
      <c r="AL66" s="12"/>
    </row>
    <row r="67" spans="9:38" x14ac:dyDescent="0.25">
      <c r="I67" s="15"/>
      <c r="K67" s="16"/>
      <c r="L67" s="16"/>
      <c r="M67" s="16"/>
      <c r="N67" s="16"/>
      <c r="O67" s="16"/>
      <c r="S67" s="11"/>
      <c r="T67" s="11"/>
      <c r="U67" s="11"/>
      <c r="Y67" s="27"/>
      <c r="Z67" s="11"/>
      <c r="AE67" s="11"/>
      <c r="AH67" s="28"/>
      <c r="AI67" s="28"/>
      <c r="AJ67" s="12"/>
      <c r="AK67" s="29"/>
      <c r="AL67" s="12"/>
    </row>
    <row r="68" spans="9:38" x14ac:dyDescent="0.25">
      <c r="I68" s="15"/>
      <c r="K68" s="16"/>
      <c r="L68" s="16"/>
      <c r="M68" s="16"/>
      <c r="N68" s="16"/>
      <c r="O68" s="16"/>
      <c r="S68" s="11"/>
      <c r="T68" s="11"/>
      <c r="U68" s="11"/>
      <c r="Y68" s="27"/>
      <c r="Z68" s="11"/>
      <c r="AE68" s="11"/>
      <c r="AH68" s="28"/>
      <c r="AI68" s="28"/>
      <c r="AJ68" s="12"/>
      <c r="AK68" s="29"/>
      <c r="AL68" s="12"/>
    </row>
    <row r="69" spans="9:38" x14ac:dyDescent="0.25">
      <c r="I69" s="15"/>
      <c r="K69" s="16"/>
      <c r="L69" s="16"/>
      <c r="M69" s="16"/>
      <c r="N69" s="16"/>
      <c r="O69" s="16"/>
      <c r="S69" s="11"/>
      <c r="T69" s="11"/>
      <c r="U69" s="11"/>
      <c r="Y69" s="27"/>
      <c r="Z69" s="11"/>
      <c r="AE69" s="11"/>
      <c r="AH69" s="28"/>
      <c r="AI69" s="28"/>
      <c r="AJ69" s="12"/>
      <c r="AK69" s="29"/>
      <c r="AL69" s="12"/>
    </row>
    <row r="70" spans="9:38" x14ac:dyDescent="0.25">
      <c r="I70" s="15"/>
      <c r="K70" s="16"/>
      <c r="L70" s="16"/>
      <c r="M70" s="16"/>
      <c r="N70" s="16"/>
      <c r="O70" s="16"/>
      <c r="S70" s="11"/>
      <c r="T70" s="11"/>
      <c r="U70" s="11"/>
      <c r="Y70" s="27"/>
      <c r="Z70" s="11"/>
      <c r="AE70" s="11"/>
      <c r="AH70" s="28"/>
      <c r="AI70" s="28"/>
      <c r="AJ70" s="12"/>
      <c r="AK70" s="29"/>
      <c r="AL70" s="12"/>
    </row>
    <row r="71" spans="9:38" x14ac:dyDescent="0.25">
      <c r="I71" s="15"/>
      <c r="K71" s="16"/>
      <c r="L71" s="16"/>
      <c r="M71" s="16"/>
      <c r="N71" s="16"/>
      <c r="O71" s="16"/>
      <c r="S71" s="11"/>
      <c r="T71" s="11"/>
      <c r="U71" s="11"/>
      <c r="Y71" s="27"/>
      <c r="Z71" s="11"/>
      <c r="AE71" s="11"/>
      <c r="AH71" s="28"/>
      <c r="AI71" s="28"/>
      <c r="AJ71" s="12"/>
      <c r="AK71" s="29"/>
      <c r="AL71" s="12"/>
    </row>
    <row r="72" spans="9:38" x14ac:dyDescent="0.25">
      <c r="I72" s="15"/>
      <c r="K72" s="16"/>
      <c r="L72" s="16"/>
      <c r="M72" s="16"/>
      <c r="N72" s="16"/>
      <c r="O72" s="16"/>
      <c r="S72" s="11"/>
      <c r="T72" s="11"/>
      <c r="U72" s="11"/>
      <c r="Y72" s="27"/>
      <c r="Z72" s="11"/>
      <c r="AE72" s="11"/>
      <c r="AH72" s="28"/>
      <c r="AI72" s="28"/>
      <c r="AJ72" s="12"/>
      <c r="AK72" s="29"/>
      <c r="AL72" s="12"/>
    </row>
    <row r="73" spans="9:38" x14ac:dyDescent="0.25">
      <c r="I73" s="15"/>
      <c r="K73" s="16"/>
      <c r="L73" s="16"/>
      <c r="M73" s="16"/>
      <c r="N73" s="16"/>
      <c r="O73" s="16"/>
      <c r="S73" s="11"/>
      <c r="T73" s="11"/>
      <c r="U73" s="11"/>
      <c r="Y73" s="27"/>
      <c r="Z73" s="11"/>
      <c r="AE73" s="11"/>
      <c r="AH73" s="28"/>
      <c r="AI73" s="28"/>
      <c r="AJ73" s="12"/>
      <c r="AK73" s="29"/>
      <c r="AL73" s="12"/>
    </row>
    <row r="74" spans="9:38" x14ac:dyDescent="0.25">
      <c r="I74" s="15"/>
      <c r="K74" s="16"/>
      <c r="L74" s="16"/>
      <c r="M74" s="16"/>
      <c r="N74" s="16"/>
      <c r="O74" s="16"/>
      <c r="S74" s="11"/>
      <c r="T74" s="11"/>
      <c r="U74" s="11"/>
      <c r="Y74" s="27"/>
      <c r="Z74" s="11"/>
      <c r="AE74" s="11"/>
      <c r="AH74" s="28"/>
      <c r="AI74" s="28"/>
      <c r="AJ74" s="12"/>
      <c r="AK74" s="29"/>
      <c r="AL74" s="12"/>
    </row>
    <row r="75" spans="9:38" x14ac:dyDescent="0.25">
      <c r="I75" s="15"/>
      <c r="K75" s="16"/>
      <c r="L75" s="16"/>
      <c r="M75" s="16"/>
      <c r="N75" s="16"/>
      <c r="O75" s="16"/>
      <c r="S75" s="11"/>
      <c r="T75" s="11"/>
      <c r="U75" s="11"/>
      <c r="Y75" s="27"/>
      <c r="Z75" s="11"/>
      <c r="AE75" s="11"/>
      <c r="AH75" s="28"/>
      <c r="AI75" s="28"/>
      <c r="AJ75" s="12"/>
      <c r="AK75" s="29"/>
      <c r="AL75" s="12"/>
    </row>
    <row r="76" spans="9:38" x14ac:dyDescent="0.25">
      <c r="I76" s="15"/>
      <c r="K76" s="16"/>
      <c r="L76" s="16"/>
      <c r="M76" s="16"/>
      <c r="N76" s="16"/>
      <c r="O76" s="16"/>
      <c r="S76" s="11"/>
      <c r="T76" s="11"/>
      <c r="U76" s="11"/>
      <c r="Y76" s="27"/>
      <c r="Z76" s="11"/>
      <c r="AE76" s="11"/>
      <c r="AH76" s="28"/>
      <c r="AI76" s="28"/>
      <c r="AJ76" s="12"/>
      <c r="AK76" s="29"/>
      <c r="AL76" s="12"/>
    </row>
    <row r="77" spans="9:38" x14ac:dyDescent="0.25">
      <c r="I77" s="15"/>
      <c r="K77" s="16"/>
      <c r="L77" s="16"/>
      <c r="M77" s="16"/>
      <c r="N77" s="16"/>
      <c r="O77" s="16"/>
      <c r="S77" s="11"/>
      <c r="T77" s="11"/>
      <c r="U77" s="11"/>
      <c r="Y77" s="27"/>
      <c r="Z77" s="11"/>
      <c r="AE77" s="11"/>
      <c r="AH77" s="28"/>
      <c r="AI77" s="28"/>
      <c r="AJ77" s="12"/>
      <c r="AK77" s="29"/>
      <c r="AL77" s="12"/>
    </row>
    <row r="78" spans="9:38" x14ac:dyDescent="0.25">
      <c r="I78" s="15"/>
      <c r="K78" s="16"/>
      <c r="L78" s="16"/>
      <c r="M78" s="16"/>
      <c r="N78" s="16"/>
      <c r="O78" s="16"/>
      <c r="S78" s="11"/>
      <c r="T78" s="11"/>
      <c r="U78" s="11"/>
      <c r="Y78" s="27"/>
      <c r="Z78" s="11"/>
      <c r="AE78" s="11"/>
      <c r="AH78" s="28"/>
      <c r="AI78" s="28"/>
      <c r="AJ78" s="12"/>
      <c r="AK78" s="29"/>
      <c r="AL78" s="12"/>
    </row>
    <row r="79" spans="9:38" x14ac:dyDescent="0.25">
      <c r="I79" s="15"/>
      <c r="K79" s="16"/>
      <c r="L79" s="16"/>
      <c r="M79" s="16"/>
      <c r="N79" s="16"/>
      <c r="O79" s="16"/>
      <c r="S79" s="11"/>
      <c r="T79" s="11"/>
      <c r="U79" s="11"/>
      <c r="Y79" s="27"/>
      <c r="Z79" s="11"/>
      <c r="AE79" s="11"/>
      <c r="AH79" s="28"/>
      <c r="AI79" s="28"/>
      <c r="AJ79" s="12"/>
      <c r="AK79" s="29"/>
      <c r="AL79" s="12"/>
    </row>
    <row r="80" spans="9:38" x14ac:dyDescent="0.25">
      <c r="I80" s="15"/>
      <c r="K80" s="16"/>
      <c r="L80" s="16"/>
      <c r="M80" s="16"/>
      <c r="N80" s="16"/>
      <c r="O80" s="16"/>
      <c r="S80" s="11"/>
      <c r="T80" s="11"/>
      <c r="U80" s="11"/>
      <c r="Y80" s="27"/>
      <c r="Z80" s="11"/>
      <c r="AE80" s="11"/>
      <c r="AH80" s="28"/>
      <c r="AI80" s="28"/>
      <c r="AJ80" s="12"/>
      <c r="AK80" s="29"/>
      <c r="AL80" s="12"/>
    </row>
    <row r="81" spans="9:38" x14ac:dyDescent="0.25">
      <c r="I81" s="15"/>
      <c r="K81" s="16"/>
      <c r="L81" s="16"/>
      <c r="M81" s="16"/>
      <c r="N81" s="16"/>
      <c r="O81" s="16"/>
      <c r="S81" s="11"/>
      <c r="T81" s="11"/>
      <c r="U81" s="11"/>
      <c r="Y81" s="27"/>
      <c r="Z81" s="11"/>
      <c r="AE81" s="11"/>
      <c r="AH81" s="28"/>
      <c r="AI81" s="28"/>
      <c r="AJ81" s="12"/>
      <c r="AK81" s="29"/>
      <c r="AL81" s="12"/>
    </row>
    <row r="82" spans="9:38" x14ac:dyDescent="0.25">
      <c r="I82" s="15"/>
      <c r="K82" s="16"/>
      <c r="L82" s="16"/>
      <c r="M82" s="16"/>
      <c r="N82" s="16"/>
      <c r="O82" s="16"/>
      <c r="S82" s="11"/>
      <c r="T82" s="11"/>
      <c r="U82" s="11"/>
      <c r="Y82" s="27"/>
      <c r="Z82" s="11"/>
      <c r="AE82" s="11"/>
      <c r="AH82" s="28"/>
      <c r="AI82" s="28"/>
      <c r="AJ82" s="12"/>
      <c r="AK82" s="29"/>
      <c r="AL82" s="12"/>
    </row>
    <row r="83" spans="9:38" x14ac:dyDescent="0.25">
      <c r="I83" s="15"/>
      <c r="K83" s="16"/>
      <c r="L83" s="16"/>
      <c r="M83" s="16"/>
      <c r="N83" s="16"/>
      <c r="O83" s="16"/>
      <c r="S83" s="11"/>
      <c r="T83" s="11"/>
      <c r="U83" s="11"/>
      <c r="Y83" s="27"/>
      <c r="Z83" s="11"/>
      <c r="AE83" s="11"/>
      <c r="AH83" s="28"/>
      <c r="AI83" s="28"/>
      <c r="AJ83" s="12"/>
      <c r="AK83" s="29"/>
      <c r="AL83" s="12"/>
    </row>
    <row r="84" spans="9:38" x14ac:dyDescent="0.25">
      <c r="I84" s="15"/>
      <c r="K84" s="16"/>
      <c r="L84" s="16"/>
      <c r="M84" s="16"/>
      <c r="N84" s="16"/>
      <c r="O84" s="16"/>
      <c r="S84" s="11"/>
      <c r="T84" s="11"/>
      <c r="U84" s="11"/>
      <c r="Y84" s="27"/>
      <c r="Z84" s="11"/>
      <c r="AE84" s="11"/>
      <c r="AH84" s="28"/>
      <c r="AI84" s="28"/>
      <c r="AJ84" s="12"/>
      <c r="AK84" s="29"/>
      <c r="AL84" s="12"/>
    </row>
    <row r="85" spans="9:38" x14ac:dyDescent="0.25">
      <c r="I85" s="15"/>
      <c r="K85" s="16"/>
      <c r="L85" s="16"/>
      <c r="M85" s="16"/>
      <c r="N85" s="16"/>
      <c r="O85" s="16"/>
      <c r="S85" s="11"/>
      <c r="T85" s="11"/>
      <c r="U85" s="11"/>
      <c r="Y85" s="27"/>
      <c r="Z85" s="11"/>
      <c r="AE85" s="11"/>
      <c r="AH85" s="28"/>
      <c r="AI85" s="28"/>
      <c r="AJ85" s="12"/>
      <c r="AK85" s="29"/>
      <c r="AL85" s="12"/>
    </row>
    <row r="86" spans="9:38" x14ac:dyDescent="0.25">
      <c r="I86" s="15"/>
      <c r="K86" s="16"/>
      <c r="L86" s="16"/>
      <c r="M86" s="16"/>
      <c r="N86" s="16"/>
      <c r="O86" s="16"/>
      <c r="S86" s="11"/>
      <c r="T86" s="11"/>
      <c r="U86" s="11"/>
      <c r="Y86" s="27"/>
      <c r="Z86" s="11"/>
      <c r="AE86" s="11"/>
      <c r="AH86" s="28"/>
      <c r="AI86" s="28"/>
      <c r="AJ86" s="12"/>
      <c r="AK86" s="29"/>
      <c r="AL86" s="12"/>
    </row>
    <row r="87" spans="9:38" x14ac:dyDescent="0.25">
      <c r="I87" s="15"/>
      <c r="K87" s="16"/>
      <c r="L87" s="16"/>
      <c r="M87" s="16"/>
      <c r="N87" s="16"/>
      <c r="O87" s="16"/>
      <c r="S87" s="11"/>
      <c r="T87" s="11"/>
      <c r="U87" s="11"/>
      <c r="Y87" s="27"/>
      <c r="Z87" s="11"/>
      <c r="AE87" s="11"/>
      <c r="AH87" s="28"/>
      <c r="AI87" s="28"/>
      <c r="AJ87" s="12"/>
      <c r="AK87" s="29"/>
      <c r="AL87" s="12"/>
    </row>
    <row r="88" spans="9:38" x14ac:dyDescent="0.25">
      <c r="I88" s="15"/>
      <c r="K88" s="16"/>
      <c r="L88" s="16"/>
      <c r="M88" s="16"/>
      <c r="N88" s="16"/>
      <c r="O88" s="16"/>
      <c r="S88" s="11"/>
      <c r="T88" s="11"/>
      <c r="U88" s="11"/>
      <c r="Y88" s="27"/>
      <c r="Z88" s="11"/>
      <c r="AE88" s="11"/>
      <c r="AH88" s="28"/>
      <c r="AI88" s="28"/>
      <c r="AJ88" s="12"/>
      <c r="AK88" s="29"/>
      <c r="AL88" s="12"/>
    </row>
    <row r="89" spans="9:38" x14ac:dyDescent="0.25">
      <c r="I89" s="15"/>
      <c r="K89" s="16"/>
      <c r="L89" s="16"/>
      <c r="M89" s="16"/>
      <c r="N89" s="16"/>
      <c r="O89" s="16"/>
      <c r="S89" s="11"/>
      <c r="T89" s="11"/>
      <c r="U89" s="11"/>
      <c r="Y89" s="27"/>
      <c r="Z89" s="11"/>
      <c r="AE89" s="11"/>
      <c r="AH89" s="28"/>
      <c r="AI89" s="28"/>
      <c r="AJ89" s="12"/>
      <c r="AK89" s="29"/>
      <c r="AL89" s="12"/>
    </row>
    <row r="90" spans="9:38" x14ac:dyDescent="0.25">
      <c r="I90" s="15"/>
      <c r="K90" s="16"/>
      <c r="L90" s="16"/>
      <c r="M90" s="16"/>
      <c r="N90" s="16"/>
      <c r="O90" s="16"/>
      <c r="S90" s="11"/>
      <c r="T90" s="11"/>
      <c r="U90" s="11"/>
      <c r="Y90" s="27"/>
      <c r="Z90" s="11"/>
      <c r="AE90" s="11"/>
      <c r="AH90" s="28"/>
      <c r="AI90" s="28"/>
      <c r="AJ90" s="12"/>
      <c r="AK90" s="29"/>
      <c r="AL90" s="12"/>
    </row>
    <row r="91" spans="9:38" x14ac:dyDescent="0.25">
      <c r="I91" s="15"/>
      <c r="K91" s="16"/>
      <c r="L91" s="16"/>
      <c r="M91" s="16"/>
      <c r="N91" s="16"/>
      <c r="O91" s="16"/>
      <c r="S91" s="11"/>
      <c r="T91" s="11"/>
      <c r="U91" s="11"/>
      <c r="Y91" s="27"/>
      <c r="Z91" s="11"/>
      <c r="AE91" s="11"/>
      <c r="AH91" s="28"/>
      <c r="AI91" s="28"/>
      <c r="AJ91" s="12"/>
      <c r="AK91" s="29"/>
      <c r="AL91" s="12"/>
    </row>
    <row r="92" spans="9:38" x14ac:dyDescent="0.25">
      <c r="I92" s="15"/>
      <c r="K92" s="16"/>
      <c r="L92" s="16"/>
      <c r="M92" s="16"/>
      <c r="N92" s="16"/>
      <c r="O92" s="16"/>
      <c r="S92" s="11"/>
      <c r="T92" s="11"/>
      <c r="U92" s="11"/>
      <c r="Y92" s="27"/>
      <c r="Z92" s="11"/>
      <c r="AE92" s="11"/>
      <c r="AH92" s="28"/>
      <c r="AI92" s="28"/>
      <c r="AJ92" s="12"/>
      <c r="AK92" s="29"/>
      <c r="AL92" s="12"/>
    </row>
    <row r="93" spans="9:38" x14ac:dyDescent="0.25">
      <c r="I93" s="15"/>
      <c r="K93" s="16"/>
      <c r="L93" s="16"/>
      <c r="M93" s="16"/>
      <c r="N93" s="16"/>
      <c r="O93" s="16"/>
      <c r="S93" s="11"/>
      <c r="T93" s="11"/>
      <c r="U93" s="11"/>
      <c r="Y93" s="27"/>
      <c r="Z93" s="11"/>
      <c r="AE93" s="11"/>
      <c r="AH93" s="28"/>
      <c r="AI93" s="28"/>
      <c r="AJ93" s="12"/>
      <c r="AK93" s="29"/>
      <c r="AL93" s="12"/>
    </row>
    <row r="94" spans="9:38" x14ac:dyDescent="0.25">
      <c r="I94" s="15"/>
      <c r="K94" s="16"/>
      <c r="L94" s="16"/>
      <c r="M94" s="16"/>
      <c r="N94" s="16"/>
      <c r="O94" s="16"/>
      <c r="S94" s="11"/>
      <c r="T94" s="11"/>
      <c r="U94" s="11"/>
      <c r="Y94" s="27"/>
      <c r="Z94" s="11"/>
      <c r="AE94" s="11"/>
      <c r="AH94" s="28"/>
      <c r="AI94" s="28"/>
      <c r="AJ94" s="12"/>
      <c r="AK94" s="29"/>
      <c r="AL94" s="12"/>
    </row>
    <row r="95" spans="9:38" x14ac:dyDescent="0.25">
      <c r="I95" s="15"/>
      <c r="K95" s="16"/>
      <c r="L95" s="16"/>
      <c r="M95" s="16"/>
      <c r="N95" s="16"/>
      <c r="O95" s="16"/>
      <c r="S95" s="11"/>
      <c r="T95" s="11"/>
      <c r="U95" s="11"/>
      <c r="Y95" s="27"/>
      <c r="Z95" s="11"/>
      <c r="AE95" s="11"/>
      <c r="AH95" s="28"/>
      <c r="AI95" s="28"/>
      <c r="AJ95" s="12"/>
      <c r="AK95" s="29"/>
      <c r="AL95" s="12"/>
    </row>
    <row r="96" spans="9:38" x14ac:dyDescent="0.25">
      <c r="I96" s="15"/>
      <c r="K96" s="16"/>
      <c r="L96" s="16"/>
      <c r="M96" s="16"/>
      <c r="N96" s="16"/>
      <c r="O96" s="16"/>
      <c r="S96" s="11"/>
      <c r="T96" s="11"/>
      <c r="U96" s="11"/>
      <c r="Y96" s="27"/>
      <c r="Z96" s="11"/>
      <c r="AE96" s="11"/>
      <c r="AH96" s="28"/>
      <c r="AI96" s="28"/>
      <c r="AJ96" s="12"/>
      <c r="AK96" s="29"/>
      <c r="AL96" s="12"/>
    </row>
    <row r="97" spans="9:38" x14ac:dyDescent="0.25">
      <c r="I97" s="15"/>
      <c r="K97" s="16"/>
      <c r="L97" s="16"/>
      <c r="M97" s="16"/>
      <c r="N97" s="16"/>
      <c r="O97" s="16"/>
      <c r="S97" s="11"/>
      <c r="T97" s="11"/>
      <c r="U97" s="11"/>
      <c r="Y97" s="27"/>
      <c r="Z97" s="11"/>
      <c r="AE97" s="11"/>
      <c r="AH97" s="28"/>
      <c r="AI97" s="28"/>
      <c r="AJ97" s="12"/>
      <c r="AK97" s="29"/>
      <c r="AL97" s="12"/>
    </row>
    <row r="98" spans="9:38" x14ac:dyDescent="0.25">
      <c r="I98" s="15"/>
      <c r="K98" s="16"/>
      <c r="L98" s="16"/>
      <c r="M98" s="16"/>
      <c r="N98" s="16"/>
      <c r="O98" s="16"/>
      <c r="S98" s="11"/>
      <c r="T98" s="11"/>
      <c r="U98" s="11"/>
      <c r="Y98" s="27"/>
      <c r="Z98" s="11"/>
      <c r="AE98" s="11"/>
      <c r="AH98" s="28"/>
      <c r="AI98" s="28"/>
      <c r="AJ98" s="12"/>
      <c r="AK98" s="29"/>
      <c r="AL98" s="12"/>
    </row>
    <row r="99" spans="9:38" x14ac:dyDescent="0.25">
      <c r="I99" s="15"/>
      <c r="K99" s="16"/>
      <c r="L99" s="16"/>
      <c r="M99" s="16"/>
      <c r="N99" s="16"/>
      <c r="O99" s="16"/>
      <c r="S99" s="11"/>
      <c r="T99" s="11"/>
      <c r="U99" s="11"/>
      <c r="Y99" s="27"/>
      <c r="Z99" s="11"/>
      <c r="AE99" s="11"/>
      <c r="AH99" s="28"/>
      <c r="AI99" s="28"/>
      <c r="AJ99" s="12"/>
      <c r="AK99" s="29"/>
      <c r="AL99" s="12"/>
    </row>
    <row r="100" spans="9:38" x14ac:dyDescent="0.25">
      <c r="I100" s="15"/>
      <c r="K100" s="16"/>
      <c r="L100" s="16"/>
      <c r="M100" s="16"/>
      <c r="N100" s="16"/>
      <c r="O100" s="16"/>
      <c r="S100" s="11"/>
      <c r="T100" s="11"/>
      <c r="U100" s="11"/>
      <c r="Y100" s="27"/>
      <c r="Z100" s="11"/>
      <c r="AE100" s="11"/>
      <c r="AH100" s="28"/>
      <c r="AI100" s="28"/>
      <c r="AJ100" s="12"/>
      <c r="AK100" s="29"/>
      <c r="AL100" s="12"/>
    </row>
    <row r="101" spans="9:38" x14ac:dyDescent="0.25">
      <c r="I101" s="15"/>
      <c r="K101" s="16"/>
      <c r="L101" s="16"/>
      <c r="M101" s="16"/>
      <c r="N101" s="16"/>
      <c r="O101" s="16"/>
      <c r="S101" s="11"/>
      <c r="T101" s="11"/>
      <c r="U101" s="11"/>
      <c r="Y101" s="27"/>
      <c r="Z101" s="11"/>
      <c r="AE101" s="11"/>
      <c r="AH101" s="28"/>
      <c r="AI101" s="28"/>
      <c r="AJ101" s="12"/>
      <c r="AK101" s="29"/>
      <c r="AL101" s="12"/>
    </row>
    <row r="102" spans="9:38" x14ac:dyDescent="0.25">
      <c r="I102" s="15"/>
      <c r="K102" s="16"/>
      <c r="L102" s="16"/>
      <c r="M102" s="16"/>
      <c r="N102" s="16"/>
      <c r="O102" s="16"/>
      <c r="S102" s="11"/>
      <c r="T102" s="11"/>
      <c r="U102" s="11"/>
      <c r="Y102" s="27"/>
      <c r="Z102" s="11"/>
      <c r="AE102" s="11"/>
      <c r="AH102" s="28"/>
      <c r="AI102" s="28"/>
      <c r="AJ102" s="12"/>
      <c r="AK102" s="29"/>
      <c r="AL102" s="12"/>
    </row>
    <row r="103" spans="9:38" x14ac:dyDescent="0.25">
      <c r="I103" s="15"/>
      <c r="K103" s="16"/>
      <c r="L103" s="16"/>
      <c r="M103" s="16"/>
      <c r="N103" s="16"/>
      <c r="O103" s="16"/>
      <c r="S103" s="11"/>
      <c r="T103" s="11"/>
      <c r="U103" s="11"/>
      <c r="Y103" s="27"/>
      <c r="Z103" s="11"/>
      <c r="AE103" s="11"/>
      <c r="AH103" s="28"/>
      <c r="AI103" s="28"/>
      <c r="AJ103" s="12"/>
      <c r="AK103" s="29"/>
      <c r="AL103" s="12"/>
    </row>
    <row r="104" spans="9:38" x14ac:dyDescent="0.25">
      <c r="I104" s="15"/>
      <c r="K104" s="16"/>
      <c r="L104" s="16"/>
      <c r="M104" s="16"/>
      <c r="N104" s="16"/>
      <c r="O104" s="16"/>
      <c r="S104" s="11"/>
      <c r="T104" s="11"/>
      <c r="U104" s="11"/>
      <c r="Y104" s="27"/>
      <c r="Z104" s="11"/>
      <c r="AE104" s="11"/>
      <c r="AH104" s="28"/>
      <c r="AI104" s="28"/>
      <c r="AJ104" s="12"/>
      <c r="AK104" s="29"/>
      <c r="AL104" s="12"/>
    </row>
    <row r="105" spans="9:38" x14ac:dyDescent="0.25">
      <c r="I105" s="15"/>
      <c r="K105" s="16"/>
      <c r="L105" s="16"/>
      <c r="M105" s="16"/>
      <c r="N105" s="16"/>
      <c r="O105" s="16"/>
      <c r="S105" s="11"/>
      <c r="T105" s="11"/>
      <c r="U105" s="11"/>
      <c r="Y105" s="27"/>
      <c r="Z105" s="11"/>
      <c r="AE105" s="11"/>
      <c r="AH105" s="28"/>
      <c r="AI105" s="28"/>
      <c r="AJ105" s="12"/>
      <c r="AK105" s="29"/>
      <c r="AL105" s="12"/>
    </row>
    <row r="106" spans="9:38" x14ac:dyDescent="0.25">
      <c r="I106" s="15"/>
      <c r="K106" s="16"/>
      <c r="L106" s="16"/>
      <c r="M106" s="16"/>
      <c r="N106" s="16"/>
      <c r="O106" s="16"/>
      <c r="S106" s="11"/>
      <c r="T106" s="11"/>
      <c r="U106" s="11"/>
      <c r="Y106" s="27"/>
      <c r="Z106" s="11"/>
      <c r="AE106" s="11"/>
      <c r="AH106" s="28"/>
      <c r="AI106" s="28"/>
      <c r="AJ106" s="12"/>
      <c r="AK106" s="29"/>
      <c r="AL106" s="12"/>
    </row>
    <row r="107" spans="9:38" x14ac:dyDescent="0.25">
      <c r="I107" s="15"/>
      <c r="K107" s="16"/>
      <c r="L107" s="16"/>
      <c r="M107" s="16"/>
      <c r="N107" s="16"/>
      <c r="O107" s="16"/>
      <c r="S107" s="11"/>
      <c r="T107" s="11"/>
      <c r="U107" s="11"/>
      <c r="Y107" s="27"/>
      <c r="Z107" s="11"/>
      <c r="AE107" s="11"/>
      <c r="AH107" s="28"/>
      <c r="AI107" s="28"/>
      <c r="AJ107" s="12"/>
      <c r="AK107" s="29"/>
      <c r="AL107" s="12"/>
    </row>
    <row r="108" spans="9:38" x14ac:dyDescent="0.25">
      <c r="I108" s="15"/>
      <c r="K108" s="16"/>
      <c r="L108" s="16"/>
      <c r="M108" s="16"/>
      <c r="N108" s="16"/>
      <c r="O108" s="16"/>
      <c r="S108" s="11"/>
      <c r="T108" s="11"/>
      <c r="U108" s="11"/>
      <c r="Y108" s="27"/>
      <c r="Z108" s="11"/>
      <c r="AE108" s="11"/>
      <c r="AH108" s="28"/>
      <c r="AI108" s="28"/>
      <c r="AJ108" s="12"/>
      <c r="AK108" s="29"/>
      <c r="AL108" s="12"/>
    </row>
    <row r="109" spans="9:38" x14ac:dyDescent="0.25">
      <c r="I109" s="15"/>
      <c r="K109" s="16"/>
      <c r="L109" s="16"/>
      <c r="M109" s="16"/>
      <c r="N109" s="16"/>
      <c r="O109" s="16"/>
      <c r="S109" s="11"/>
      <c r="T109" s="11"/>
      <c r="U109" s="11"/>
      <c r="Y109" s="27"/>
      <c r="Z109" s="11"/>
      <c r="AE109" s="11"/>
      <c r="AH109" s="28"/>
      <c r="AI109" s="28"/>
      <c r="AJ109" s="12"/>
      <c r="AK109" s="29"/>
      <c r="AL109" s="12"/>
    </row>
    <row r="110" spans="9:38" x14ac:dyDescent="0.25">
      <c r="I110" s="15"/>
      <c r="K110" s="16"/>
      <c r="L110" s="16"/>
      <c r="M110" s="16"/>
      <c r="N110" s="16"/>
      <c r="O110" s="16"/>
      <c r="S110" s="11"/>
      <c r="T110" s="11"/>
      <c r="U110" s="11"/>
      <c r="Y110" s="27"/>
      <c r="Z110" s="11"/>
      <c r="AE110" s="11"/>
      <c r="AH110" s="28"/>
      <c r="AI110" s="28"/>
      <c r="AJ110" s="12"/>
      <c r="AK110" s="29"/>
      <c r="AL110" s="12"/>
    </row>
    <row r="111" spans="9:38" x14ac:dyDescent="0.25">
      <c r="I111" s="15"/>
      <c r="K111" s="16"/>
      <c r="L111" s="16"/>
      <c r="M111" s="16"/>
      <c r="N111" s="16"/>
      <c r="O111" s="16"/>
      <c r="S111" s="11"/>
      <c r="T111" s="11"/>
      <c r="U111" s="11"/>
      <c r="Y111" s="27"/>
      <c r="Z111" s="11"/>
      <c r="AE111" s="11"/>
      <c r="AH111" s="28"/>
      <c r="AI111" s="28"/>
      <c r="AJ111" s="12"/>
      <c r="AK111" s="29"/>
      <c r="AL111" s="12"/>
    </row>
    <row r="112" spans="9:38" x14ac:dyDescent="0.25">
      <c r="I112" s="15"/>
      <c r="K112" s="16"/>
      <c r="L112" s="16"/>
      <c r="M112" s="16"/>
      <c r="N112" s="16"/>
      <c r="O112" s="16"/>
      <c r="S112" s="11"/>
      <c r="T112" s="11"/>
      <c r="U112" s="11"/>
      <c r="Y112" s="27"/>
      <c r="Z112" s="11"/>
      <c r="AE112" s="11"/>
      <c r="AH112" s="28"/>
      <c r="AI112" s="28"/>
      <c r="AJ112" s="12"/>
      <c r="AK112" s="29"/>
      <c r="AL112" s="12"/>
    </row>
    <row r="113" spans="9:38" x14ac:dyDescent="0.25">
      <c r="I113" s="15"/>
      <c r="K113" s="16"/>
      <c r="L113" s="16"/>
      <c r="M113" s="16"/>
      <c r="N113" s="16"/>
      <c r="O113" s="16"/>
      <c r="S113" s="11"/>
      <c r="T113" s="11"/>
      <c r="U113" s="11"/>
      <c r="Y113" s="27"/>
      <c r="Z113" s="11"/>
      <c r="AE113" s="11"/>
      <c r="AH113" s="28"/>
      <c r="AI113" s="28"/>
      <c r="AJ113" s="12"/>
      <c r="AK113" s="29"/>
      <c r="AL113" s="12"/>
    </row>
    <row r="114" spans="9:38" x14ac:dyDescent="0.25">
      <c r="I114" s="15"/>
      <c r="K114" s="16"/>
      <c r="L114" s="16"/>
      <c r="M114" s="16"/>
      <c r="N114" s="16"/>
      <c r="O114" s="16"/>
      <c r="S114" s="11"/>
      <c r="T114" s="11"/>
      <c r="U114" s="11"/>
      <c r="Y114" s="27"/>
      <c r="Z114" s="11"/>
      <c r="AE114" s="11"/>
      <c r="AH114" s="28"/>
      <c r="AI114" s="28"/>
      <c r="AJ114" s="12"/>
      <c r="AK114" s="29"/>
      <c r="AL114" s="12"/>
    </row>
    <row r="115" spans="9:38" x14ac:dyDescent="0.25">
      <c r="I115" s="15"/>
      <c r="K115" s="16"/>
      <c r="L115" s="16"/>
      <c r="M115" s="16"/>
      <c r="N115" s="16"/>
      <c r="O115" s="16"/>
      <c r="S115" s="11"/>
      <c r="T115" s="11"/>
      <c r="U115" s="11"/>
      <c r="Y115" s="27"/>
      <c r="Z115" s="11"/>
      <c r="AE115" s="11"/>
      <c r="AH115" s="28"/>
      <c r="AI115" s="28"/>
      <c r="AJ115" s="12"/>
      <c r="AK115" s="29"/>
      <c r="AL115" s="12"/>
    </row>
    <row r="116" spans="9:38" x14ac:dyDescent="0.25">
      <c r="I116" s="15"/>
      <c r="K116" s="16"/>
      <c r="L116" s="16"/>
      <c r="M116" s="16"/>
      <c r="N116" s="16"/>
      <c r="O116" s="16"/>
      <c r="S116" s="11"/>
      <c r="T116" s="11"/>
      <c r="U116" s="11"/>
      <c r="Y116" s="27"/>
      <c r="Z116" s="11"/>
      <c r="AE116" s="11"/>
      <c r="AH116" s="28"/>
      <c r="AI116" s="28"/>
      <c r="AJ116" s="12"/>
      <c r="AK116" s="29"/>
      <c r="AL116" s="12"/>
    </row>
    <row r="117" spans="9:38" x14ac:dyDescent="0.25">
      <c r="I117" s="15"/>
      <c r="K117" s="16"/>
      <c r="L117" s="16"/>
      <c r="M117" s="16"/>
      <c r="N117" s="16"/>
      <c r="O117" s="16"/>
      <c r="S117" s="11"/>
      <c r="T117" s="11"/>
      <c r="U117" s="11"/>
      <c r="Y117" s="27"/>
      <c r="Z117" s="11"/>
      <c r="AE117" s="11"/>
      <c r="AH117" s="28"/>
      <c r="AI117" s="28"/>
      <c r="AJ117" s="12"/>
      <c r="AK117" s="29"/>
      <c r="AL117" s="12"/>
    </row>
    <row r="118" spans="9:38" x14ac:dyDescent="0.25">
      <c r="I118" s="15"/>
      <c r="K118" s="16"/>
      <c r="L118" s="16"/>
      <c r="M118" s="16"/>
      <c r="N118" s="16"/>
      <c r="O118" s="16"/>
      <c r="S118" s="11"/>
      <c r="T118" s="11"/>
      <c r="U118" s="11"/>
      <c r="Y118" s="27"/>
      <c r="Z118" s="11"/>
      <c r="AE118" s="11"/>
      <c r="AH118" s="28"/>
      <c r="AI118" s="28"/>
      <c r="AJ118" s="12"/>
      <c r="AK118" s="29"/>
      <c r="AL118" s="12"/>
    </row>
    <row r="119" spans="9:38" x14ac:dyDescent="0.25">
      <c r="I119" s="15"/>
      <c r="K119" s="16"/>
      <c r="L119" s="16"/>
      <c r="M119" s="16"/>
      <c r="N119" s="16"/>
      <c r="O119" s="16"/>
      <c r="S119" s="11"/>
      <c r="T119" s="11"/>
      <c r="U119" s="11"/>
      <c r="Y119" s="27"/>
      <c r="Z119" s="11"/>
      <c r="AE119" s="11"/>
      <c r="AH119" s="28"/>
      <c r="AI119" s="28"/>
      <c r="AJ119" s="12"/>
      <c r="AK119" s="29"/>
      <c r="AL119" s="12"/>
    </row>
    <row r="120" spans="9:38" x14ac:dyDescent="0.25">
      <c r="I120" s="15"/>
      <c r="K120" s="16"/>
      <c r="L120" s="16"/>
      <c r="M120" s="16"/>
      <c r="N120" s="16"/>
      <c r="O120" s="16"/>
      <c r="S120" s="11"/>
      <c r="T120" s="11"/>
      <c r="U120" s="11"/>
      <c r="Y120" s="27"/>
      <c r="Z120" s="11"/>
      <c r="AE120" s="11"/>
      <c r="AH120" s="28"/>
      <c r="AI120" s="28"/>
      <c r="AJ120" s="12"/>
      <c r="AK120" s="29"/>
      <c r="AL120" s="12"/>
    </row>
    <row r="121" spans="9:38" x14ac:dyDescent="0.25">
      <c r="I121" s="15"/>
      <c r="K121" s="16"/>
      <c r="L121" s="16"/>
      <c r="M121" s="16"/>
      <c r="N121" s="16"/>
      <c r="O121" s="16"/>
      <c r="S121" s="11"/>
      <c r="T121" s="11"/>
      <c r="U121" s="11"/>
      <c r="Y121" s="27"/>
      <c r="Z121" s="11"/>
      <c r="AE121" s="11"/>
      <c r="AH121" s="28"/>
      <c r="AI121" s="28"/>
      <c r="AJ121" s="12"/>
      <c r="AK121" s="29"/>
      <c r="AL121" s="12"/>
    </row>
    <row r="122" spans="9:38" x14ac:dyDescent="0.25">
      <c r="I122" s="15"/>
      <c r="K122" s="16"/>
      <c r="L122" s="16"/>
      <c r="M122" s="16"/>
      <c r="N122" s="16"/>
      <c r="O122" s="16"/>
      <c r="S122" s="11"/>
      <c r="T122" s="11"/>
      <c r="U122" s="11"/>
      <c r="Y122" s="27"/>
      <c r="Z122" s="11"/>
      <c r="AE122" s="11"/>
      <c r="AH122" s="28"/>
      <c r="AI122" s="28"/>
      <c r="AJ122" s="12"/>
      <c r="AK122" s="29"/>
      <c r="AL122" s="12"/>
    </row>
    <row r="123" spans="9:38" x14ac:dyDescent="0.25">
      <c r="I123" s="15"/>
      <c r="K123" s="16"/>
      <c r="L123" s="16"/>
      <c r="M123" s="16"/>
      <c r="N123" s="16"/>
      <c r="O123" s="16"/>
      <c r="S123" s="11"/>
      <c r="T123" s="11"/>
      <c r="U123" s="11"/>
      <c r="Y123" s="27"/>
      <c r="Z123" s="11"/>
      <c r="AE123" s="11"/>
      <c r="AH123" s="28"/>
      <c r="AI123" s="28"/>
      <c r="AJ123" s="12"/>
      <c r="AK123" s="29"/>
      <c r="AL123" s="12"/>
    </row>
    <row r="124" spans="9:38" x14ac:dyDescent="0.25">
      <c r="I124" s="15"/>
      <c r="K124" s="16"/>
      <c r="L124" s="16"/>
      <c r="M124" s="16"/>
      <c r="N124" s="16"/>
      <c r="O124" s="16"/>
      <c r="S124" s="11"/>
      <c r="T124" s="11"/>
      <c r="U124" s="11"/>
      <c r="Y124" s="27"/>
      <c r="Z124" s="11"/>
      <c r="AE124" s="11"/>
      <c r="AH124" s="28"/>
      <c r="AI124" s="28"/>
      <c r="AJ124" s="12"/>
      <c r="AK124" s="29"/>
      <c r="AL124" s="12"/>
    </row>
    <row r="125" spans="9:38" x14ac:dyDescent="0.25">
      <c r="I125" s="15"/>
      <c r="K125" s="16"/>
      <c r="L125" s="16"/>
      <c r="M125" s="16"/>
      <c r="N125" s="16"/>
      <c r="O125" s="16"/>
      <c r="S125" s="11"/>
      <c r="T125" s="11"/>
      <c r="U125" s="11"/>
      <c r="Y125" s="27"/>
      <c r="Z125" s="11"/>
      <c r="AE125" s="11"/>
      <c r="AH125" s="28"/>
      <c r="AI125" s="28"/>
      <c r="AJ125" s="12"/>
      <c r="AK125" s="29"/>
      <c r="AL125" s="12"/>
    </row>
    <row r="126" spans="9:38" x14ac:dyDescent="0.25">
      <c r="I126" s="15"/>
      <c r="K126" s="16"/>
      <c r="L126" s="16"/>
      <c r="M126" s="16"/>
      <c r="N126" s="16"/>
      <c r="O126" s="16"/>
      <c r="S126" s="11"/>
      <c r="T126" s="11"/>
      <c r="U126" s="11"/>
      <c r="Y126" s="27"/>
      <c r="Z126" s="11"/>
      <c r="AE126" s="11"/>
      <c r="AH126" s="28"/>
      <c r="AI126" s="28"/>
      <c r="AJ126" s="12"/>
      <c r="AK126" s="29"/>
      <c r="AL126" s="12"/>
    </row>
    <row r="127" spans="9:38" x14ac:dyDescent="0.25">
      <c r="I127" s="15"/>
      <c r="K127" s="16"/>
      <c r="L127" s="16"/>
      <c r="M127" s="16"/>
      <c r="N127" s="16"/>
      <c r="O127" s="16"/>
      <c r="S127" s="11"/>
      <c r="T127" s="11"/>
      <c r="U127" s="11"/>
      <c r="Y127" s="27"/>
      <c r="Z127" s="11"/>
      <c r="AE127" s="11"/>
      <c r="AH127" s="28"/>
      <c r="AI127" s="28"/>
      <c r="AJ127" s="12"/>
      <c r="AK127" s="29"/>
      <c r="AL127" s="12"/>
    </row>
    <row r="128" spans="9:38" x14ac:dyDescent="0.25">
      <c r="I128" s="15"/>
      <c r="K128" s="16"/>
      <c r="L128" s="16"/>
      <c r="M128" s="16"/>
      <c r="N128" s="16"/>
      <c r="O128" s="16"/>
      <c r="S128" s="11"/>
      <c r="T128" s="11"/>
      <c r="U128" s="11"/>
      <c r="Y128" s="27"/>
      <c r="Z128" s="11"/>
      <c r="AE128" s="11"/>
      <c r="AH128" s="28"/>
      <c r="AI128" s="28"/>
      <c r="AJ128" s="12"/>
      <c r="AK128" s="29"/>
      <c r="AL128" s="12"/>
    </row>
    <row r="129" spans="9:38" x14ac:dyDescent="0.25">
      <c r="I129" s="15"/>
      <c r="K129" s="16"/>
      <c r="L129" s="16"/>
      <c r="M129" s="16"/>
      <c r="N129" s="16"/>
      <c r="O129" s="16"/>
      <c r="S129" s="11"/>
      <c r="T129" s="11"/>
      <c r="U129" s="11"/>
      <c r="Y129" s="27"/>
      <c r="Z129" s="11"/>
      <c r="AE129" s="11"/>
      <c r="AH129" s="28"/>
      <c r="AI129" s="28"/>
      <c r="AJ129" s="12"/>
      <c r="AK129" s="29"/>
      <c r="AL129" s="12"/>
    </row>
    <row r="130" spans="9:38" x14ac:dyDescent="0.25">
      <c r="I130" s="15"/>
      <c r="K130" s="16"/>
      <c r="L130" s="16"/>
      <c r="M130" s="16"/>
      <c r="N130" s="16"/>
      <c r="O130" s="16"/>
      <c r="S130" s="11"/>
      <c r="T130" s="11"/>
      <c r="U130" s="11"/>
      <c r="Y130" s="27"/>
      <c r="Z130" s="11"/>
      <c r="AE130" s="11"/>
      <c r="AH130" s="28"/>
      <c r="AI130" s="28"/>
      <c r="AJ130" s="12"/>
      <c r="AK130" s="29"/>
      <c r="AL130" s="12"/>
    </row>
    <row r="131" spans="9:38" x14ac:dyDescent="0.25">
      <c r="I131" s="15"/>
      <c r="K131" s="16"/>
      <c r="L131" s="16"/>
      <c r="M131" s="16"/>
      <c r="N131" s="16"/>
      <c r="O131" s="16"/>
      <c r="S131" s="11"/>
      <c r="T131" s="11"/>
      <c r="U131" s="11"/>
      <c r="Y131" s="27"/>
      <c r="Z131" s="11"/>
      <c r="AE131" s="11"/>
      <c r="AH131" s="28"/>
      <c r="AI131" s="28"/>
      <c r="AJ131" s="12"/>
      <c r="AK131" s="29"/>
      <c r="AL131" s="12"/>
    </row>
    <row r="132" spans="9:38" x14ac:dyDescent="0.25">
      <c r="I132" s="15"/>
      <c r="K132" s="16"/>
      <c r="L132" s="16"/>
      <c r="M132" s="16"/>
      <c r="N132" s="16"/>
      <c r="O132" s="16"/>
      <c r="S132" s="11"/>
      <c r="T132" s="11"/>
      <c r="U132" s="11"/>
      <c r="Y132" s="27"/>
      <c r="Z132" s="11"/>
      <c r="AE132" s="11"/>
      <c r="AH132" s="28"/>
      <c r="AI132" s="28"/>
      <c r="AJ132" s="12"/>
      <c r="AK132" s="29"/>
      <c r="AL132" s="12"/>
    </row>
    <row r="133" spans="9:38" x14ac:dyDescent="0.25">
      <c r="I133" s="15"/>
      <c r="K133" s="16"/>
      <c r="L133" s="16"/>
      <c r="M133" s="16"/>
      <c r="N133" s="16"/>
      <c r="O133" s="16"/>
      <c r="S133" s="11"/>
      <c r="T133" s="11"/>
      <c r="U133" s="11"/>
      <c r="Y133" s="27"/>
      <c r="Z133" s="11"/>
      <c r="AE133" s="11"/>
      <c r="AH133" s="28"/>
      <c r="AI133" s="28"/>
      <c r="AJ133" s="12"/>
      <c r="AK133" s="29"/>
      <c r="AL133" s="12"/>
    </row>
    <row r="134" spans="9:38" x14ac:dyDescent="0.25">
      <c r="I134" s="15"/>
      <c r="K134" s="16"/>
      <c r="L134" s="16"/>
      <c r="M134" s="16"/>
      <c r="N134" s="16"/>
      <c r="O134" s="16"/>
      <c r="S134" s="11"/>
      <c r="T134" s="11"/>
      <c r="U134" s="11"/>
      <c r="Y134" s="27"/>
      <c r="Z134" s="11"/>
      <c r="AE134" s="11"/>
      <c r="AH134" s="28"/>
      <c r="AI134" s="28"/>
      <c r="AJ134" s="12"/>
      <c r="AK134" s="29"/>
      <c r="AL134" s="12"/>
    </row>
    <row r="135" spans="9:38" x14ac:dyDescent="0.25">
      <c r="I135" s="15"/>
      <c r="K135" s="16"/>
      <c r="L135" s="16"/>
      <c r="M135" s="16"/>
      <c r="N135" s="16"/>
      <c r="O135" s="16"/>
      <c r="S135" s="11"/>
      <c r="T135" s="11"/>
      <c r="U135" s="11"/>
      <c r="Y135" s="27"/>
      <c r="Z135" s="11"/>
      <c r="AE135" s="11"/>
      <c r="AH135" s="28"/>
      <c r="AI135" s="28"/>
      <c r="AJ135" s="12"/>
      <c r="AK135" s="29"/>
      <c r="AL135" s="12"/>
    </row>
    <row r="136" spans="9:38" x14ac:dyDescent="0.25">
      <c r="I136" s="15"/>
      <c r="K136" s="16"/>
      <c r="L136" s="16"/>
      <c r="M136" s="16"/>
      <c r="N136" s="16"/>
      <c r="O136" s="16"/>
      <c r="S136" s="11"/>
      <c r="T136" s="11"/>
      <c r="U136" s="11"/>
      <c r="Y136" s="27"/>
      <c r="Z136" s="11"/>
      <c r="AE136" s="11"/>
      <c r="AH136" s="28"/>
      <c r="AI136" s="28"/>
      <c r="AJ136" s="12"/>
      <c r="AK136" s="29"/>
      <c r="AL136" s="12"/>
    </row>
    <row r="137" spans="9:38" x14ac:dyDescent="0.25">
      <c r="I137" s="15"/>
      <c r="K137" s="16"/>
      <c r="L137" s="16"/>
      <c r="M137" s="16"/>
      <c r="N137" s="16"/>
      <c r="O137" s="16"/>
      <c r="S137" s="11"/>
      <c r="T137" s="11"/>
      <c r="U137" s="11"/>
      <c r="Y137" s="27"/>
      <c r="Z137" s="11"/>
      <c r="AE137" s="11"/>
      <c r="AH137" s="28"/>
      <c r="AI137" s="28"/>
      <c r="AJ137" s="12"/>
      <c r="AK137" s="29"/>
      <c r="AL137" s="12"/>
    </row>
    <row r="138" spans="9:38" x14ac:dyDescent="0.25">
      <c r="I138" s="15"/>
      <c r="K138" s="16"/>
      <c r="L138" s="16"/>
      <c r="M138" s="16"/>
      <c r="N138" s="16"/>
      <c r="O138" s="16"/>
      <c r="S138" s="11"/>
      <c r="T138" s="11"/>
      <c r="U138" s="11"/>
      <c r="Y138" s="27"/>
      <c r="Z138" s="11"/>
      <c r="AE138" s="11"/>
      <c r="AH138" s="28"/>
      <c r="AI138" s="28"/>
      <c r="AJ138" s="12"/>
      <c r="AK138" s="29"/>
      <c r="AL138" s="12"/>
    </row>
    <row r="139" spans="9:38" x14ac:dyDescent="0.25">
      <c r="I139" s="15"/>
      <c r="K139" s="16"/>
      <c r="L139" s="16"/>
      <c r="M139" s="16"/>
      <c r="N139" s="16"/>
      <c r="O139" s="16"/>
      <c r="S139" s="11"/>
      <c r="T139" s="11"/>
      <c r="U139" s="11"/>
      <c r="Y139" s="27"/>
      <c r="Z139" s="11"/>
      <c r="AE139" s="11"/>
      <c r="AH139" s="28"/>
      <c r="AI139" s="28"/>
      <c r="AJ139" s="12"/>
      <c r="AK139" s="29"/>
      <c r="AL139" s="12"/>
    </row>
    <row r="140" spans="9:38" x14ac:dyDescent="0.25">
      <c r="I140" s="15"/>
      <c r="K140" s="16"/>
      <c r="L140" s="16"/>
      <c r="M140" s="16"/>
      <c r="N140" s="16"/>
      <c r="O140" s="16"/>
      <c r="S140" s="11"/>
      <c r="T140" s="11"/>
      <c r="U140" s="11"/>
      <c r="Y140" s="27"/>
      <c r="Z140" s="11"/>
      <c r="AE140" s="11"/>
      <c r="AH140" s="28"/>
      <c r="AI140" s="28"/>
      <c r="AJ140" s="12"/>
      <c r="AK140" s="29"/>
      <c r="AL140" s="12"/>
    </row>
    <row r="141" spans="9:38" x14ac:dyDescent="0.25">
      <c r="I141" s="15"/>
      <c r="K141" s="16"/>
      <c r="L141" s="16"/>
      <c r="M141" s="16"/>
      <c r="N141" s="16"/>
      <c r="O141" s="16"/>
      <c r="S141" s="11"/>
      <c r="T141" s="11"/>
      <c r="U141" s="11"/>
      <c r="Y141" s="27"/>
      <c r="Z141" s="11"/>
      <c r="AE141" s="11"/>
      <c r="AH141" s="28"/>
      <c r="AI141" s="28"/>
      <c r="AJ141" s="12"/>
      <c r="AK141" s="29"/>
      <c r="AL141" s="12"/>
    </row>
    <row r="142" spans="9:38" x14ac:dyDescent="0.25">
      <c r="I142" s="15"/>
      <c r="K142" s="16"/>
      <c r="L142" s="16"/>
      <c r="M142" s="16"/>
      <c r="N142" s="16"/>
      <c r="O142" s="16"/>
      <c r="S142" s="11"/>
      <c r="T142" s="11"/>
      <c r="U142" s="11"/>
      <c r="Y142" s="27"/>
      <c r="Z142" s="11"/>
      <c r="AE142" s="11"/>
      <c r="AH142" s="28"/>
      <c r="AI142" s="28"/>
      <c r="AJ142" s="12"/>
      <c r="AK142" s="29"/>
      <c r="AL142" s="12"/>
    </row>
    <row r="143" spans="9:38" x14ac:dyDescent="0.25">
      <c r="I143" s="15"/>
      <c r="K143" s="16"/>
      <c r="L143" s="16"/>
      <c r="M143" s="16"/>
      <c r="N143" s="16"/>
      <c r="O143" s="16"/>
      <c r="S143" s="11"/>
      <c r="T143" s="11"/>
      <c r="U143" s="11"/>
      <c r="Y143" s="27"/>
      <c r="Z143" s="11"/>
      <c r="AE143" s="11"/>
      <c r="AH143" s="28"/>
      <c r="AI143" s="28"/>
      <c r="AJ143" s="12"/>
      <c r="AK143" s="29"/>
      <c r="AL143" s="12"/>
    </row>
    <row r="144" spans="9:38" x14ac:dyDescent="0.25">
      <c r="I144" s="15"/>
      <c r="K144" s="16"/>
      <c r="L144" s="16"/>
      <c r="M144" s="16"/>
      <c r="N144" s="16"/>
      <c r="O144" s="16"/>
      <c r="S144" s="11"/>
      <c r="T144" s="11"/>
      <c r="U144" s="11"/>
      <c r="Y144" s="27"/>
      <c r="Z144" s="11"/>
      <c r="AE144" s="11"/>
      <c r="AH144" s="28"/>
      <c r="AI144" s="28"/>
      <c r="AJ144" s="12"/>
      <c r="AK144" s="29"/>
      <c r="AL144" s="12"/>
    </row>
    <row r="145" spans="9:38" x14ac:dyDescent="0.25">
      <c r="I145" s="15"/>
      <c r="K145" s="16"/>
      <c r="L145" s="16"/>
      <c r="M145" s="16"/>
      <c r="N145" s="16"/>
      <c r="O145" s="16"/>
      <c r="S145" s="11"/>
      <c r="T145" s="11"/>
      <c r="U145" s="11"/>
      <c r="Y145" s="27"/>
      <c r="Z145" s="11"/>
      <c r="AE145" s="11"/>
      <c r="AH145" s="28"/>
      <c r="AI145" s="28"/>
      <c r="AJ145" s="12"/>
      <c r="AK145" s="29"/>
      <c r="AL145" s="12"/>
    </row>
    <row r="146" spans="9:38" x14ac:dyDescent="0.25">
      <c r="I146" s="15"/>
      <c r="K146" s="16"/>
      <c r="L146" s="16"/>
      <c r="M146" s="16"/>
      <c r="N146" s="16"/>
      <c r="O146" s="16"/>
      <c r="S146" s="11"/>
      <c r="T146" s="11"/>
      <c r="U146" s="11"/>
      <c r="Y146" s="27"/>
      <c r="Z146" s="11"/>
      <c r="AE146" s="11"/>
      <c r="AH146" s="28"/>
      <c r="AI146" s="28"/>
      <c r="AJ146" s="12"/>
      <c r="AK146" s="29"/>
      <c r="AL146" s="12"/>
    </row>
    <row r="147" spans="9:38" x14ac:dyDescent="0.25">
      <c r="I147" s="15"/>
      <c r="K147" s="16"/>
      <c r="L147" s="16"/>
      <c r="M147" s="16"/>
      <c r="N147" s="16"/>
      <c r="O147" s="16"/>
      <c r="S147" s="11"/>
      <c r="T147" s="11"/>
      <c r="U147" s="11"/>
      <c r="Y147" s="27"/>
      <c r="Z147" s="11"/>
      <c r="AE147" s="11"/>
      <c r="AH147" s="28"/>
      <c r="AI147" s="28"/>
      <c r="AJ147" s="12"/>
      <c r="AK147" s="29"/>
      <c r="AL147" s="12"/>
    </row>
    <row r="148" spans="9:38" x14ac:dyDescent="0.25">
      <c r="I148" s="15"/>
      <c r="K148" s="16"/>
      <c r="L148" s="16"/>
      <c r="M148" s="16"/>
      <c r="N148" s="16"/>
      <c r="O148" s="16"/>
      <c r="S148" s="11"/>
      <c r="T148" s="11"/>
      <c r="U148" s="11"/>
      <c r="Y148" s="27"/>
      <c r="Z148" s="11"/>
      <c r="AE148" s="11"/>
      <c r="AH148" s="28"/>
      <c r="AI148" s="28"/>
      <c r="AJ148" s="12"/>
      <c r="AK148" s="29"/>
      <c r="AL148" s="12"/>
    </row>
    <row r="149" spans="9:38" x14ac:dyDescent="0.25">
      <c r="I149" s="15"/>
      <c r="K149" s="16"/>
      <c r="L149" s="16"/>
      <c r="M149" s="16"/>
      <c r="N149" s="16"/>
      <c r="O149" s="16"/>
      <c r="S149" s="11"/>
      <c r="T149" s="11"/>
      <c r="U149" s="11"/>
      <c r="Y149" s="27"/>
      <c r="Z149" s="11"/>
      <c r="AE149" s="11"/>
      <c r="AH149" s="28"/>
      <c r="AI149" s="28"/>
      <c r="AJ149" s="12"/>
      <c r="AK149" s="29"/>
      <c r="AL149" s="12"/>
    </row>
    <row r="150" spans="9:38" x14ac:dyDescent="0.25">
      <c r="I150" s="15"/>
      <c r="K150" s="16"/>
      <c r="L150" s="16"/>
      <c r="M150" s="16"/>
      <c r="N150" s="16"/>
      <c r="O150" s="16"/>
      <c r="S150" s="11"/>
      <c r="T150" s="11"/>
      <c r="U150" s="11"/>
      <c r="Y150" s="27"/>
      <c r="Z150" s="11"/>
      <c r="AE150" s="11"/>
      <c r="AH150" s="28"/>
      <c r="AI150" s="28"/>
      <c r="AJ150" s="12"/>
      <c r="AK150" s="29"/>
      <c r="AL150" s="12"/>
    </row>
    <row r="151" spans="9:38" x14ac:dyDescent="0.25">
      <c r="I151" s="15"/>
      <c r="K151" s="16"/>
      <c r="L151" s="16"/>
      <c r="M151" s="16"/>
      <c r="N151" s="16"/>
      <c r="O151" s="16"/>
      <c r="S151" s="11"/>
      <c r="T151" s="11"/>
      <c r="U151" s="11"/>
      <c r="Y151" s="27"/>
      <c r="Z151" s="11"/>
      <c r="AE151" s="11"/>
      <c r="AH151" s="28"/>
      <c r="AI151" s="28"/>
      <c r="AJ151" s="12"/>
      <c r="AK151" s="29"/>
      <c r="AL151" s="12"/>
    </row>
    <row r="152" spans="9:38" x14ac:dyDescent="0.25">
      <c r="I152" s="15"/>
      <c r="K152" s="16"/>
      <c r="L152" s="16"/>
      <c r="M152" s="16"/>
      <c r="N152" s="16"/>
      <c r="O152" s="16"/>
      <c r="S152" s="11"/>
      <c r="T152" s="11"/>
      <c r="U152" s="11"/>
      <c r="Y152" s="27"/>
      <c r="Z152" s="11"/>
      <c r="AE152" s="11"/>
      <c r="AH152" s="28"/>
      <c r="AI152" s="28"/>
      <c r="AJ152" s="12"/>
      <c r="AK152" s="29"/>
      <c r="AL152" s="12"/>
    </row>
    <row r="153" spans="9:38" x14ac:dyDescent="0.25">
      <c r="I153" s="15"/>
      <c r="K153" s="16"/>
      <c r="L153" s="16"/>
      <c r="M153" s="16"/>
      <c r="N153" s="16"/>
      <c r="O153" s="16"/>
      <c r="S153" s="11"/>
      <c r="T153" s="11"/>
      <c r="U153" s="11"/>
      <c r="Y153" s="27"/>
      <c r="Z153" s="11"/>
      <c r="AE153" s="11"/>
      <c r="AH153" s="28"/>
      <c r="AI153" s="28"/>
      <c r="AJ153" s="12"/>
      <c r="AK153" s="29"/>
      <c r="AL153" s="12"/>
    </row>
    <row r="154" spans="9:38" x14ac:dyDescent="0.25">
      <c r="I154" s="15"/>
      <c r="K154" s="16"/>
      <c r="L154" s="16"/>
      <c r="M154" s="16"/>
      <c r="N154" s="16"/>
      <c r="O154" s="16"/>
      <c r="S154" s="11"/>
      <c r="T154" s="11"/>
      <c r="U154" s="11"/>
      <c r="Y154" s="27"/>
      <c r="Z154" s="11"/>
      <c r="AE154" s="11"/>
      <c r="AH154" s="28"/>
      <c r="AI154" s="28"/>
      <c r="AJ154" s="12"/>
      <c r="AK154" s="29"/>
      <c r="AL154" s="12"/>
    </row>
    <row r="155" spans="9:38" x14ac:dyDescent="0.25">
      <c r="I155" s="15"/>
      <c r="K155" s="16"/>
      <c r="L155" s="16"/>
      <c r="M155" s="16"/>
      <c r="N155" s="16"/>
      <c r="O155" s="16"/>
      <c r="S155" s="11"/>
      <c r="T155" s="11"/>
      <c r="U155" s="11"/>
      <c r="Y155" s="27"/>
      <c r="Z155" s="11"/>
      <c r="AE155" s="11"/>
      <c r="AH155" s="28"/>
      <c r="AI155" s="28"/>
      <c r="AJ155" s="12"/>
      <c r="AK155" s="29"/>
      <c r="AL155" s="12"/>
    </row>
    <row r="156" spans="9:38" x14ac:dyDescent="0.25">
      <c r="I156" s="15"/>
      <c r="K156" s="16"/>
      <c r="L156" s="16"/>
      <c r="M156" s="16"/>
      <c r="N156" s="16"/>
      <c r="O156" s="16"/>
      <c r="S156" s="11"/>
      <c r="T156" s="11"/>
      <c r="U156" s="11"/>
      <c r="Y156" s="27"/>
      <c r="Z156" s="11"/>
      <c r="AE156" s="11"/>
      <c r="AH156" s="28"/>
      <c r="AI156" s="28"/>
      <c r="AJ156" s="12"/>
      <c r="AK156" s="29"/>
      <c r="AL156" s="12"/>
    </row>
    <row r="157" spans="9:38" x14ac:dyDescent="0.25">
      <c r="I157" s="15"/>
      <c r="K157" s="16"/>
      <c r="L157" s="16"/>
      <c r="M157" s="16"/>
      <c r="N157" s="16"/>
      <c r="O157" s="16"/>
      <c r="S157" s="11"/>
      <c r="T157" s="11"/>
      <c r="U157" s="11"/>
      <c r="Y157" s="27"/>
      <c r="Z157" s="11"/>
      <c r="AE157" s="11"/>
      <c r="AH157" s="28"/>
      <c r="AI157" s="28"/>
      <c r="AJ157" s="12"/>
      <c r="AK157" s="29"/>
      <c r="AL157" s="12"/>
    </row>
    <row r="158" spans="9:38" x14ac:dyDescent="0.25">
      <c r="I158" s="15"/>
      <c r="K158" s="16"/>
      <c r="L158" s="16"/>
      <c r="M158" s="16"/>
      <c r="N158" s="16"/>
      <c r="O158" s="16"/>
      <c r="S158" s="11"/>
      <c r="T158" s="11"/>
      <c r="U158" s="11"/>
      <c r="Y158" s="27"/>
      <c r="Z158" s="11"/>
      <c r="AE158" s="11"/>
      <c r="AH158" s="28"/>
      <c r="AI158" s="28"/>
      <c r="AJ158" s="12"/>
      <c r="AK158" s="29"/>
      <c r="AL158" s="12"/>
    </row>
    <row r="159" spans="9:38" x14ac:dyDescent="0.25">
      <c r="I159" s="15"/>
      <c r="K159" s="16"/>
      <c r="L159" s="16"/>
      <c r="M159" s="16"/>
      <c r="N159" s="16"/>
      <c r="O159" s="16"/>
      <c r="S159" s="11"/>
      <c r="T159" s="11"/>
      <c r="U159" s="11"/>
      <c r="Y159" s="27"/>
      <c r="Z159" s="11"/>
      <c r="AE159" s="11"/>
      <c r="AH159" s="28"/>
      <c r="AI159" s="28"/>
      <c r="AJ159" s="12"/>
      <c r="AK159" s="29"/>
      <c r="AL159" s="12"/>
    </row>
    <row r="160" spans="9:38" x14ac:dyDescent="0.25">
      <c r="I160" s="15"/>
      <c r="K160" s="16"/>
      <c r="L160" s="16"/>
      <c r="M160" s="16"/>
      <c r="N160" s="16"/>
      <c r="O160" s="16"/>
      <c r="S160" s="11"/>
      <c r="T160" s="11"/>
      <c r="U160" s="11"/>
      <c r="Y160" s="27"/>
      <c r="Z160" s="11"/>
      <c r="AE160" s="11"/>
      <c r="AH160" s="28"/>
      <c r="AI160" s="28"/>
      <c r="AJ160" s="12"/>
      <c r="AK160" s="29"/>
      <c r="AL160" s="12"/>
    </row>
    <row r="161" spans="9:38" x14ac:dyDescent="0.25">
      <c r="I161" s="15"/>
      <c r="K161" s="16"/>
      <c r="L161" s="16"/>
      <c r="M161" s="16"/>
      <c r="N161" s="16"/>
      <c r="O161" s="16"/>
      <c r="S161" s="11"/>
      <c r="T161" s="11"/>
      <c r="U161" s="11"/>
      <c r="Y161" s="27"/>
      <c r="Z161" s="11"/>
      <c r="AE161" s="11"/>
      <c r="AH161" s="28"/>
      <c r="AI161" s="28"/>
      <c r="AJ161" s="12"/>
      <c r="AK161" s="29"/>
      <c r="AL161" s="12"/>
    </row>
    <row r="162" spans="9:38" x14ac:dyDescent="0.25">
      <c r="I162" s="15"/>
      <c r="K162" s="16"/>
      <c r="L162" s="16"/>
      <c r="M162" s="16"/>
      <c r="N162" s="16"/>
      <c r="O162" s="16"/>
      <c r="S162" s="11"/>
      <c r="T162" s="11"/>
      <c r="U162" s="11"/>
      <c r="Y162" s="27"/>
      <c r="Z162" s="11"/>
      <c r="AE162" s="11"/>
      <c r="AH162" s="28"/>
      <c r="AI162" s="28"/>
      <c r="AJ162" s="12"/>
      <c r="AK162" s="29"/>
      <c r="AL162" s="12"/>
    </row>
    <row r="163" spans="9:38" x14ac:dyDescent="0.25">
      <c r="I163" s="15"/>
      <c r="K163" s="16"/>
      <c r="L163" s="16"/>
      <c r="M163" s="16"/>
      <c r="N163" s="16"/>
      <c r="O163" s="16"/>
      <c r="S163" s="11"/>
      <c r="T163" s="11"/>
      <c r="U163" s="11"/>
      <c r="Y163" s="27"/>
      <c r="Z163" s="11"/>
      <c r="AE163" s="11"/>
      <c r="AH163" s="28"/>
      <c r="AI163" s="28"/>
      <c r="AJ163" s="12"/>
      <c r="AK163" s="29"/>
      <c r="AL163" s="12"/>
    </row>
    <row r="164" spans="9:38" x14ac:dyDescent="0.25">
      <c r="I164" s="15"/>
      <c r="K164" s="16"/>
      <c r="L164" s="16"/>
      <c r="M164" s="16"/>
      <c r="N164" s="16"/>
      <c r="O164" s="16"/>
      <c r="S164" s="11"/>
      <c r="T164" s="11"/>
      <c r="U164" s="11"/>
      <c r="Y164" s="27"/>
      <c r="Z164" s="11"/>
      <c r="AE164" s="11"/>
      <c r="AH164" s="28"/>
      <c r="AI164" s="28"/>
      <c r="AJ164" s="12"/>
      <c r="AK164" s="29"/>
      <c r="AL164" s="12"/>
    </row>
    <row r="165" spans="9:38" x14ac:dyDescent="0.25">
      <c r="I165" s="15"/>
      <c r="K165" s="16"/>
      <c r="L165" s="16"/>
      <c r="M165" s="16"/>
      <c r="N165" s="16"/>
      <c r="O165" s="16"/>
      <c r="S165" s="11"/>
      <c r="T165" s="11"/>
      <c r="U165" s="11"/>
      <c r="Y165" s="27"/>
      <c r="Z165" s="11"/>
      <c r="AE165" s="11"/>
      <c r="AH165" s="28"/>
      <c r="AI165" s="28"/>
      <c r="AJ165" s="12"/>
      <c r="AK165" s="29"/>
      <c r="AL165" s="12"/>
    </row>
    <row r="166" spans="9:38" x14ac:dyDescent="0.25">
      <c r="I166" s="15"/>
      <c r="K166" s="16"/>
      <c r="L166" s="16"/>
      <c r="M166" s="16"/>
      <c r="N166" s="16"/>
      <c r="O166" s="16"/>
      <c r="S166" s="11"/>
      <c r="T166" s="11"/>
      <c r="U166" s="11"/>
      <c r="Y166" s="27"/>
      <c r="Z166" s="11"/>
      <c r="AE166" s="11"/>
      <c r="AH166" s="28"/>
      <c r="AI166" s="28"/>
      <c r="AJ166" s="12"/>
      <c r="AK166" s="29"/>
      <c r="AL166" s="12"/>
    </row>
    <row r="167" spans="9:38" x14ac:dyDescent="0.25">
      <c r="I167" s="15"/>
      <c r="K167" s="16"/>
      <c r="L167" s="16"/>
      <c r="M167" s="16"/>
      <c r="N167" s="16"/>
      <c r="O167" s="16"/>
      <c r="S167" s="11"/>
      <c r="T167" s="11"/>
      <c r="U167" s="11"/>
      <c r="Y167" s="27"/>
      <c r="Z167" s="11"/>
      <c r="AE167" s="11"/>
      <c r="AH167" s="28"/>
      <c r="AI167" s="28"/>
      <c r="AJ167" s="12"/>
      <c r="AK167" s="29"/>
      <c r="AL167" s="12"/>
    </row>
    <row r="168" spans="9:38" x14ac:dyDescent="0.25">
      <c r="I168" s="15"/>
      <c r="K168" s="16"/>
      <c r="L168" s="16"/>
      <c r="M168" s="16"/>
      <c r="N168" s="16"/>
      <c r="O168" s="16"/>
      <c r="S168" s="11"/>
      <c r="T168" s="11"/>
      <c r="U168" s="11"/>
      <c r="Y168" s="27"/>
      <c r="Z168" s="11"/>
      <c r="AE168" s="11"/>
      <c r="AH168" s="28"/>
      <c r="AI168" s="28"/>
      <c r="AJ168" s="12"/>
      <c r="AK168" s="29"/>
      <c r="AL168" s="12"/>
    </row>
    <row r="169" spans="9:38" x14ac:dyDescent="0.25">
      <c r="I169" s="15"/>
      <c r="K169" s="16"/>
      <c r="L169" s="16"/>
      <c r="M169" s="16"/>
      <c r="N169" s="16"/>
      <c r="O169" s="16"/>
      <c r="S169" s="11"/>
      <c r="T169" s="11"/>
      <c r="U169" s="11"/>
      <c r="Y169" s="27"/>
      <c r="Z169" s="11"/>
      <c r="AE169" s="11"/>
      <c r="AH169" s="28"/>
      <c r="AI169" s="28"/>
      <c r="AJ169" s="12"/>
      <c r="AK169" s="29"/>
      <c r="AL169" s="12"/>
    </row>
    <row r="170" spans="9:38" x14ac:dyDescent="0.25">
      <c r="I170" s="15"/>
      <c r="K170" s="16"/>
      <c r="L170" s="16"/>
      <c r="M170" s="16"/>
      <c r="N170" s="16"/>
      <c r="O170" s="16"/>
      <c r="S170" s="11"/>
      <c r="T170" s="11"/>
      <c r="U170" s="11"/>
      <c r="Y170" s="27"/>
      <c r="Z170" s="11"/>
      <c r="AE170" s="11"/>
      <c r="AH170" s="28"/>
      <c r="AI170" s="28"/>
      <c r="AJ170" s="12"/>
      <c r="AK170" s="29"/>
      <c r="AL170" s="12"/>
    </row>
    <row r="171" spans="9:38" x14ac:dyDescent="0.25">
      <c r="I171" s="15"/>
      <c r="K171" s="16"/>
      <c r="L171" s="16"/>
      <c r="M171" s="16"/>
      <c r="N171" s="16"/>
      <c r="O171" s="16"/>
      <c r="S171" s="11"/>
      <c r="T171" s="11"/>
      <c r="U171" s="11"/>
      <c r="Y171" s="27"/>
      <c r="Z171" s="11"/>
      <c r="AE171" s="11"/>
      <c r="AH171" s="28"/>
      <c r="AI171" s="28"/>
      <c r="AJ171" s="12"/>
      <c r="AK171" s="29"/>
      <c r="AL171" s="12"/>
    </row>
    <row r="172" spans="9:38" x14ac:dyDescent="0.25">
      <c r="I172" s="15"/>
      <c r="K172" s="16"/>
      <c r="L172" s="16"/>
      <c r="M172" s="16"/>
      <c r="N172" s="16"/>
      <c r="O172" s="16"/>
      <c r="S172" s="11"/>
      <c r="T172" s="11"/>
      <c r="U172" s="11"/>
      <c r="Y172" s="27"/>
      <c r="Z172" s="11"/>
      <c r="AE172" s="11"/>
      <c r="AH172" s="28"/>
      <c r="AI172" s="28"/>
      <c r="AJ172" s="12"/>
      <c r="AK172" s="29"/>
      <c r="AL172" s="12"/>
    </row>
    <row r="173" spans="9:38" x14ac:dyDescent="0.25">
      <c r="I173" s="15"/>
      <c r="K173" s="16"/>
      <c r="L173" s="16"/>
      <c r="M173" s="16"/>
      <c r="N173" s="16"/>
      <c r="O173" s="16"/>
      <c r="S173" s="11"/>
      <c r="T173" s="11"/>
      <c r="U173" s="11"/>
      <c r="Y173" s="27"/>
      <c r="Z173" s="11"/>
      <c r="AE173" s="11"/>
      <c r="AH173" s="28"/>
      <c r="AI173" s="28"/>
      <c r="AJ173" s="12"/>
      <c r="AK173" s="29"/>
      <c r="AL173" s="12"/>
    </row>
    <row r="174" spans="9:38" x14ac:dyDescent="0.25">
      <c r="I174" s="15"/>
      <c r="K174" s="16"/>
      <c r="L174" s="16"/>
      <c r="M174" s="16"/>
      <c r="N174" s="16"/>
      <c r="O174" s="16"/>
      <c r="S174" s="11"/>
      <c r="T174" s="11"/>
      <c r="U174" s="11"/>
      <c r="Y174" s="27"/>
      <c r="Z174" s="11"/>
      <c r="AE174" s="11"/>
      <c r="AH174" s="28"/>
      <c r="AI174" s="28"/>
      <c r="AJ174" s="12"/>
      <c r="AK174" s="29"/>
      <c r="AL174" s="12"/>
    </row>
    <row r="175" spans="9:38" x14ac:dyDescent="0.25">
      <c r="I175" s="15"/>
      <c r="K175" s="16"/>
      <c r="L175" s="16"/>
      <c r="M175" s="16"/>
      <c r="N175" s="16"/>
      <c r="O175" s="16"/>
      <c r="S175" s="11"/>
      <c r="T175" s="11"/>
      <c r="U175" s="11"/>
      <c r="Y175" s="27"/>
      <c r="Z175" s="11"/>
      <c r="AE175" s="11"/>
      <c r="AH175" s="28"/>
      <c r="AI175" s="28"/>
      <c r="AJ175" s="12"/>
      <c r="AK175" s="29"/>
      <c r="AL175" s="12"/>
    </row>
    <row r="176" spans="9:38" x14ac:dyDescent="0.25">
      <c r="I176" s="15"/>
      <c r="K176" s="16"/>
      <c r="L176" s="16"/>
      <c r="M176" s="16"/>
      <c r="N176" s="16"/>
      <c r="O176" s="16"/>
      <c r="S176" s="11"/>
      <c r="T176" s="11"/>
      <c r="U176" s="11"/>
      <c r="Y176" s="27"/>
      <c r="Z176" s="11"/>
      <c r="AE176" s="11"/>
      <c r="AH176" s="28"/>
      <c r="AI176" s="28"/>
      <c r="AJ176" s="12"/>
      <c r="AK176" s="29"/>
      <c r="AL176" s="12"/>
    </row>
    <row r="177" spans="9:38" x14ac:dyDescent="0.25">
      <c r="I177" s="15"/>
      <c r="K177" s="16"/>
      <c r="L177" s="16"/>
      <c r="M177" s="16"/>
      <c r="N177" s="16"/>
      <c r="O177" s="16"/>
      <c r="S177" s="11"/>
      <c r="T177" s="11"/>
      <c r="U177" s="11"/>
      <c r="Y177" s="27"/>
      <c r="Z177" s="11"/>
      <c r="AE177" s="11"/>
      <c r="AH177" s="28"/>
      <c r="AI177" s="28"/>
      <c r="AJ177" s="12"/>
      <c r="AK177" s="29"/>
      <c r="AL177" s="12"/>
    </row>
    <row r="178" spans="9:38" x14ac:dyDescent="0.25">
      <c r="I178" s="15"/>
      <c r="K178" s="16"/>
      <c r="L178" s="16"/>
      <c r="M178" s="16"/>
      <c r="N178" s="16"/>
      <c r="O178" s="16"/>
      <c r="S178" s="11"/>
      <c r="T178" s="11"/>
      <c r="U178" s="11"/>
      <c r="Y178" s="27"/>
      <c r="Z178" s="11"/>
      <c r="AE178" s="11"/>
      <c r="AH178" s="28"/>
      <c r="AI178" s="28"/>
      <c r="AJ178" s="12"/>
      <c r="AK178" s="29"/>
      <c r="AL178" s="12"/>
    </row>
    <row r="179" spans="9:38" x14ac:dyDescent="0.25">
      <c r="I179" s="15"/>
      <c r="K179" s="16"/>
      <c r="L179" s="16"/>
      <c r="M179" s="16"/>
      <c r="N179" s="16"/>
      <c r="O179" s="16"/>
      <c r="S179" s="11"/>
      <c r="T179" s="11"/>
      <c r="U179" s="11"/>
      <c r="Y179" s="27"/>
      <c r="Z179" s="11"/>
      <c r="AE179" s="11"/>
      <c r="AH179" s="28"/>
      <c r="AI179" s="28"/>
      <c r="AJ179" s="12"/>
      <c r="AK179" s="29"/>
      <c r="AL179" s="12"/>
    </row>
    <row r="180" spans="9:38" x14ac:dyDescent="0.25">
      <c r="I180" s="15"/>
      <c r="K180" s="16"/>
      <c r="L180" s="16"/>
      <c r="M180" s="16"/>
      <c r="N180" s="16"/>
      <c r="O180" s="16"/>
      <c r="S180" s="11"/>
      <c r="T180" s="11"/>
      <c r="U180" s="11"/>
      <c r="Y180" s="27"/>
      <c r="Z180" s="11"/>
      <c r="AE180" s="11"/>
      <c r="AH180" s="28"/>
      <c r="AI180" s="28"/>
      <c r="AJ180" s="12"/>
      <c r="AK180" s="29"/>
      <c r="AL180" s="12"/>
    </row>
    <row r="181" spans="9:38" x14ac:dyDescent="0.25">
      <c r="I181" s="15"/>
      <c r="K181" s="16"/>
      <c r="L181" s="16"/>
      <c r="M181" s="16"/>
      <c r="N181" s="16"/>
      <c r="O181" s="16"/>
      <c r="S181" s="11"/>
      <c r="T181" s="11"/>
      <c r="U181" s="11"/>
      <c r="Y181" s="27"/>
      <c r="Z181" s="11"/>
      <c r="AE181" s="11"/>
      <c r="AH181" s="28"/>
      <c r="AI181" s="28"/>
      <c r="AJ181" s="12"/>
      <c r="AK181" s="29"/>
      <c r="AL181" s="12"/>
    </row>
    <row r="182" spans="9:38" x14ac:dyDescent="0.25">
      <c r="I182" s="15"/>
      <c r="K182" s="16"/>
      <c r="L182" s="16"/>
      <c r="M182" s="16"/>
      <c r="N182" s="16"/>
      <c r="O182" s="16"/>
      <c r="S182" s="11"/>
      <c r="T182" s="11"/>
      <c r="U182" s="11"/>
      <c r="Y182" s="27"/>
      <c r="Z182" s="11"/>
      <c r="AE182" s="11"/>
      <c r="AH182" s="28"/>
      <c r="AI182" s="28"/>
      <c r="AJ182" s="12"/>
      <c r="AK182" s="29"/>
      <c r="AL182" s="12"/>
    </row>
    <row r="183" spans="9:38" x14ac:dyDescent="0.25">
      <c r="I183" s="15"/>
      <c r="K183" s="16"/>
      <c r="L183" s="16"/>
      <c r="M183" s="16"/>
      <c r="N183" s="16"/>
      <c r="O183" s="16"/>
      <c r="S183" s="11"/>
      <c r="T183" s="11"/>
      <c r="U183" s="11"/>
      <c r="Y183" s="27"/>
      <c r="Z183" s="11"/>
      <c r="AE183" s="11"/>
      <c r="AH183" s="28"/>
      <c r="AI183" s="28"/>
      <c r="AJ183" s="12"/>
      <c r="AK183" s="29"/>
      <c r="AL183" s="12"/>
    </row>
    <row r="184" spans="9:38" x14ac:dyDescent="0.25">
      <c r="I184" s="15"/>
      <c r="K184" s="16"/>
      <c r="L184" s="16"/>
      <c r="M184" s="16"/>
      <c r="N184" s="16"/>
      <c r="O184" s="16"/>
      <c r="S184" s="11"/>
      <c r="T184" s="11"/>
      <c r="U184" s="11"/>
      <c r="Y184" s="27"/>
      <c r="Z184" s="11"/>
      <c r="AE184" s="11"/>
      <c r="AH184" s="28"/>
      <c r="AI184" s="28"/>
      <c r="AJ184" s="12"/>
      <c r="AK184" s="29"/>
      <c r="AL184" s="12"/>
    </row>
    <row r="185" spans="9:38" x14ac:dyDescent="0.25">
      <c r="I185" s="15"/>
      <c r="K185" s="16"/>
      <c r="L185" s="16"/>
      <c r="M185" s="16"/>
      <c r="N185" s="16"/>
      <c r="O185" s="16"/>
      <c r="S185" s="11"/>
      <c r="T185" s="11"/>
      <c r="U185" s="11"/>
      <c r="Y185" s="27"/>
      <c r="Z185" s="11"/>
      <c r="AE185" s="11"/>
      <c r="AH185" s="28"/>
      <c r="AI185" s="28"/>
      <c r="AJ185" s="12"/>
      <c r="AK185" s="29"/>
      <c r="AL185" s="12"/>
    </row>
    <row r="186" spans="9:38" x14ac:dyDescent="0.25">
      <c r="I186" s="15"/>
      <c r="K186" s="16"/>
      <c r="L186" s="16"/>
      <c r="M186" s="16"/>
      <c r="N186" s="16"/>
      <c r="O186" s="16"/>
      <c r="S186" s="11"/>
      <c r="T186" s="11"/>
      <c r="U186" s="11"/>
      <c r="Y186" s="27"/>
      <c r="Z186" s="11"/>
      <c r="AE186" s="11"/>
      <c r="AH186" s="28"/>
      <c r="AI186" s="28"/>
      <c r="AJ186" s="12"/>
      <c r="AK186" s="29"/>
      <c r="AL186" s="12"/>
    </row>
    <row r="187" spans="9:38" x14ac:dyDescent="0.25">
      <c r="I187" s="15"/>
      <c r="K187" s="16"/>
      <c r="L187" s="16"/>
      <c r="M187" s="16"/>
      <c r="N187" s="16"/>
      <c r="O187" s="16"/>
      <c r="S187" s="11"/>
      <c r="T187" s="11"/>
      <c r="U187" s="11"/>
      <c r="Y187" s="27"/>
      <c r="Z187" s="11"/>
      <c r="AE187" s="11"/>
      <c r="AH187" s="28"/>
      <c r="AI187" s="28"/>
      <c r="AJ187" s="12"/>
      <c r="AK187" s="29"/>
      <c r="AL187" s="12"/>
    </row>
    <row r="188" spans="9:38" x14ac:dyDescent="0.25">
      <c r="I188" s="15"/>
      <c r="K188" s="16"/>
      <c r="L188" s="16"/>
      <c r="M188" s="16"/>
      <c r="N188" s="16"/>
      <c r="O188" s="16"/>
      <c r="S188" s="11"/>
      <c r="T188" s="11"/>
      <c r="U188" s="11"/>
      <c r="Y188" s="27"/>
      <c r="Z188" s="11"/>
      <c r="AE188" s="11"/>
      <c r="AH188" s="28"/>
      <c r="AI188" s="28"/>
      <c r="AJ188" s="12"/>
      <c r="AK188" s="29"/>
      <c r="AL188" s="12"/>
    </row>
    <row r="189" spans="9:38" x14ac:dyDescent="0.25">
      <c r="I189" s="15"/>
      <c r="K189" s="16"/>
      <c r="L189" s="16"/>
      <c r="M189" s="16"/>
      <c r="N189" s="16"/>
      <c r="O189" s="16"/>
      <c r="S189" s="11"/>
      <c r="T189" s="11"/>
      <c r="U189" s="11"/>
      <c r="Y189" s="27"/>
      <c r="Z189" s="11"/>
      <c r="AE189" s="11"/>
      <c r="AH189" s="28"/>
      <c r="AI189" s="28"/>
      <c r="AJ189" s="12"/>
      <c r="AK189" s="29"/>
      <c r="AL189" s="12"/>
    </row>
    <row r="190" spans="9:38" x14ac:dyDescent="0.25">
      <c r="I190" s="15"/>
      <c r="K190" s="16"/>
      <c r="L190" s="16"/>
      <c r="M190" s="16"/>
      <c r="N190" s="16"/>
      <c r="O190" s="16"/>
      <c r="S190" s="11"/>
      <c r="T190" s="11"/>
      <c r="U190" s="11"/>
      <c r="Y190" s="27"/>
      <c r="Z190" s="11"/>
      <c r="AE190" s="11"/>
      <c r="AH190" s="28"/>
      <c r="AI190" s="28"/>
      <c r="AJ190" s="12"/>
      <c r="AK190" s="29"/>
      <c r="AL190" s="12"/>
    </row>
    <row r="191" spans="9:38" x14ac:dyDescent="0.25">
      <c r="I191" s="15"/>
      <c r="K191" s="16"/>
      <c r="L191" s="16"/>
      <c r="M191" s="16"/>
      <c r="N191" s="16"/>
      <c r="O191" s="16"/>
      <c r="S191" s="11"/>
      <c r="T191" s="11"/>
      <c r="U191" s="11"/>
      <c r="Y191" s="27"/>
      <c r="Z191" s="11"/>
      <c r="AE191" s="11"/>
      <c r="AH191" s="28"/>
      <c r="AI191" s="28"/>
      <c r="AJ191" s="12"/>
      <c r="AK191" s="29"/>
      <c r="AL191" s="12"/>
    </row>
    <row r="192" spans="9:38" x14ac:dyDescent="0.25">
      <c r="I192" s="15"/>
      <c r="K192" s="16"/>
      <c r="L192" s="16"/>
      <c r="M192" s="16"/>
      <c r="N192" s="16"/>
      <c r="O192" s="16"/>
      <c r="S192" s="11"/>
      <c r="T192" s="11"/>
      <c r="U192" s="11"/>
      <c r="Y192" s="27"/>
      <c r="Z192" s="11"/>
      <c r="AE192" s="11"/>
      <c r="AH192" s="28"/>
      <c r="AI192" s="28"/>
      <c r="AJ192" s="12"/>
      <c r="AK192" s="29"/>
      <c r="AL192" s="12"/>
    </row>
    <row r="193" spans="9:38" x14ac:dyDescent="0.25">
      <c r="I193" s="15"/>
      <c r="K193" s="16"/>
      <c r="L193" s="16"/>
      <c r="M193" s="16"/>
      <c r="N193" s="16"/>
      <c r="O193" s="16"/>
      <c r="S193" s="11"/>
      <c r="T193" s="11"/>
      <c r="U193" s="11"/>
      <c r="Y193" s="27"/>
      <c r="Z193" s="11"/>
      <c r="AE193" s="11"/>
      <c r="AH193" s="28"/>
      <c r="AI193" s="28"/>
      <c r="AJ193" s="12"/>
      <c r="AK193" s="29"/>
      <c r="AL193" s="12"/>
    </row>
    <row r="194" spans="9:38" x14ac:dyDescent="0.25">
      <c r="I194" s="15"/>
      <c r="K194" s="16"/>
      <c r="L194" s="16"/>
      <c r="M194" s="16"/>
      <c r="N194" s="16"/>
      <c r="O194" s="16"/>
      <c r="S194" s="11"/>
      <c r="T194" s="11"/>
      <c r="U194" s="11"/>
      <c r="Y194" s="27"/>
      <c r="Z194" s="11"/>
      <c r="AE194" s="11"/>
      <c r="AH194" s="28"/>
      <c r="AI194" s="28"/>
      <c r="AJ194" s="12"/>
      <c r="AK194" s="29"/>
      <c r="AL194" s="12"/>
    </row>
    <row r="195" spans="9:38" x14ac:dyDescent="0.25">
      <c r="I195" s="15"/>
      <c r="K195" s="16"/>
      <c r="L195" s="16"/>
      <c r="M195" s="16"/>
      <c r="N195" s="16"/>
      <c r="O195" s="16"/>
      <c r="S195" s="11"/>
      <c r="T195" s="11"/>
      <c r="U195" s="11"/>
      <c r="Y195" s="27"/>
      <c r="Z195" s="11"/>
      <c r="AE195" s="11"/>
      <c r="AH195" s="28"/>
      <c r="AI195" s="28"/>
      <c r="AJ195" s="12"/>
      <c r="AK195" s="29"/>
      <c r="AL195" s="12"/>
    </row>
    <row r="196" spans="9:38" x14ac:dyDescent="0.25">
      <c r="I196" s="15"/>
      <c r="K196" s="16"/>
      <c r="L196" s="16"/>
      <c r="M196" s="16"/>
      <c r="N196" s="16"/>
      <c r="O196" s="16"/>
      <c r="S196" s="11"/>
      <c r="T196" s="11"/>
      <c r="U196" s="11"/>
      <c r="Y196" s="27"/>
      <c r="Z196" s="11"/>
      <c r="AE196" s="11"/>
      <c r="AH196" s="28"/>
      <c r="AI196" s="28"/>
      <c r="AJ196" s="12"/>
      <c r="AK196" s="29"/>
      <c r="AL196" s="12"/>
    </row>
    <row r="197" spans="9:38" x14ac:dyDescent="0.25">
      <c r="I197" s="15"/>
      <c r="K197" s="16"/>
      <c r="L197" s="16"/>
      <c r="M197" s="16"/>
      <c r="N197" s="16"/>
      <c r="O197" s="16"/>
      <c r="S197" s="11"/>
      <c r="T197" s="11"/>
      <c r="U197" s="11"/>
      <c r="Y197" s="27"/>
      <c r="Z197" s="11"/>
      <c r="AE197" s="11"/>
      <c r="AH197" s="28"/>
      <c r="AI197" s="28"/>
      <c r="AJ197" s="12"/>
      <c r="AK197" s="29"/>
      <c r="AL197" s="12"/>
    </row>
    <row r="198" spans="9:38" x14ac:dyDescent="0.25">
      <c r="I198" s="15"/>
      <c r="K198" s="16"/>
      <c r="L198" s="16"/>
      <c r="M198" s="16"/>
      <c r="N198" s="16"/>
      <c r="O198" s="16"/>
      <c r="S198" s="11"/>
      <c r="T198" s="11"/>
      <c r="U198" s="11"/>
      <c r="Y198" s="27"/>
      <c r="Z198" s="11"/>
      <c r="AE198" s="11"/>
      <c r="AH198" s="28"/>
      <c r="AI198" s="28"/>
      <c r="AJ198" s="12"/>
      <c r="AK198" s="29"/>
      <c r="AL198" s="12"/>
    </row>
    <row r="199" spans="9:38" x14ac:dyDescent="0.25">
      <c r="I199" s="15"/>
      <c r="K199" s="16"/>
      <c r="L199" s="16"/>
      <c r="M199" s="16"/>
      <c r="N199" s="16"/>
      <c r="O199" s="16"/>
      <c r="S199" s="11"/>
      <c r="T199" s="11"/>
      <c r="U199" s="11"/>
      <c r="Y199" s="27"/>
      <c r="Z199" s="11"/>
      <c r="AE199" s="11"/>
      <c r="AH199" s="28"/>
      <c r="AI199" s="28"/>
      <c r="AJ199" s="12"/>
      <c r="AK199" s="29"/>
      <c r="AL199" s="12"/>
    </row>
    <row r="200" spans="9:38" x14ac:dyDescent="0.25">
      <c r="I200" s="15"/>
      <c r="K200" s="16"/>
      <c r="L200" s="16"/>
      <c r="M200" s="16"/>
      <c r="N200" s="16"/>
      <c r="O200" s="16"/>
      <c r="S200" s="11"/>
      <c r="T200" s="11"/>
      <c r="U200" s="11"/>
      <c r="Y200" s="27"/>
      <c r="Z200" s="11"/>
      <c r="AE200" s="11"/>
      <c r="AH200" s="28"/>
      <c r="AI200" s="28"/>
      <c r="AJ200" s="12"/>
      <c r="AK200" s="29"/>
      <c r="AL200" s="12"/>
    </row>
    <row r="201" spans="9:38" x14ac:dyDescent="0.25">
      <c r="I201" s="15"/>
      <c r="K201" s="16"/>
      <c r="L201" s="16"/>
      <c r="M201" s="16"/>
      <c r="N201" s="16"/>
      <c r="O201" s="16"/>
      <c r="S201" s="11"/>
      <c r="T201" s="11"/>
      <c r="U201" s="11"/>
      <c r="Y201" s="27"/>
      <c r="Z201" s="11"/>
      <c r="AE201" s="11"/>
      <c r="AH201" s="28"/>
      <c r="AI201" s="28"/>
      <c r="AJ201" s="12"/>
      <c r="AK201" s="29"/>
      <c r="AL201" s="12"/>
    </row>
    <row r="202" spans="9:38" x14ac:dyDescent="0.25">
      <c r="I202" s="15"/>
      <c r="K202" s="16"/>
      <c r="L202" s="16"/>
      <c r="M202" s="16"/>
      <c r="N202" s="16"/>
      <c r="O202" s="16"/>
      <c r="S202" s="11"/>
      <c r="T202" s="11"/>
      <c r="U202" s="11"/>
      <c r="Y202" s="27"/>
      <c r="Z202" s="11"/>
      <c r="AE202" s="11"/>
      <c r="AH202" s="28"/>
      <c r="AI202" s="28"/>
      <c r="AJ202" s="12"/>
      <c r="AK202" s="29"/>
      <c r="AL202" s="12"/>
    </row>
    <row r="203" spans="9:38" x14ac:dyDescent="0.25">
      <c r="I203" s="15"/>
      <c r="K203" s="16"/>
      <c r="L203" s="16"/>
      <c r="M203" s="16"/>
      <c r="N203" s="16"/>
      <c r="O203" s="16"/>
      <c r="S203" s="11"/>
      <c r="T203" s="11"/>
      <c r="U203" s="11"/>
      <c r="Y203" s="27"/>
      <c r="Z203" s="11"/>
      <c r="AE203" s="11"/>
      <c r="AH203" s="28"/>
      <c r="AI203" s="28"/>
      <c r="AJ203" s="12"/>
      <c r="AK203" s="29"/>
      <c r="AL203" s="12"/>
    </row>
    <row r="204" spans="9:38" x14ac:dyDescent="0.25">
      <c r="I204" s="15"/>
      <c r="K204" s="16"/>
      <c r="L204" s="16"/>
      <c r="M204" s="16"/>
      <c r="N204" s="16"/>
      <c r="O204" s="16"/>
      <c r="S204" s="11"/>
      <c r="T204" s="11"/>
      <c r="U204" s="11"/>
      <c r="Y204" s="27"/>
      <c r="Z204" s="11"/>
      <c r="AE204" s="11"/>
      <c r="AH204" s="28"/>
      <c r="AI204" s="28"/>
      <c r="AJ204" s="12"/>
      <c r="AK204" s="29"/>
      <c r="AL204" s="12"/>
    </row>
    <row r="205" spans="9:38" x14ac:dyDescent="0.25">
      <c r="I205" s="15"/>
      <c r="K205" s="16"/>
      <c r="L205" s="16"/>
      <c r="M205" s="16"/>
      <c r="N205" s="16"/>
      <c r="O205" s="16"/>
      <c r="S205" s="11"/>
      <c r="T205" s="11"/>
      <c r="U205" s="11"/>
      <c r="Y205" s="27"/>
      <c r="Z205" s="11"/>
      <c r="AE205" s="11"/>
      <c r="AH205" s="28"/>
      <c r="AI205" s="28"/>
      <c r="AJ205" s="12"/>
      <c r="AK205" s="29"/>
      <c r="AL205" s="12"/>
    </row>
    <row r="206" spans="9:38" x14ac:dyDescent="0.25">
      <c r="I206" s="15"/>
      <c r="K206" s="16"/>
      <c r="L206" s="16"/>
      <c r="M206" s="16"/>
      <c r="N206" s="16"/>
      <c r="O206" s="16"/>
      <c r="S206" s="11"/>
      <c r="T206" s="11"/>
      <c r="U206" s="11"/>
      <c r="Y206" s="27"/>
      <c r="Z206" s="11"/>
      <c r="AE206" s="11"/>
      <c r="AH206" s="28"/>
      <c r="AI206" s="28"/>
      <c r="AJ206" s="12"/>
      <c r="AK206" s="29"/>
      <c r="AL206" s="12"/>
    </row>
    <row r="207" spans="9:38" x14ac:dyDescent="0.25">
      <c r="I207" s="15"/>
      <c r="K207" s="16"/>
      <c r="L207" s="16"/>
      <c r="M207" s="16"/>
      <c r="N207" s="16"/>
      <c r="O207" s="16"/>
      <c r="S207" s="11"/>
      <c r="T207" s="11"/>
      <c r="U207" s="11"/>
      <c r="Y207" s="27"/>
      <c r="Z207" s="11"/>
      <c r="AE207" s="11"/>
      <c r="AH207" s="28"/>
      <c r="AI207" s="28"/>
      <c r="AJ207" s="12"/>
      <c r="AK207" s="29"/>
      <c r="AL207" s="12"/>
    </row>
    <row r="208" spans="9:38" x14ac:dyDescent="0.25">
      <c r="I208" s="15"/>
      <c r="K208" s="16"/>
      <c r="L208" s="16"/>
      <c r="M208" s="16"/>
      <c r="N208" s="16"/>
      <c r="O208" s="16"/>
      <c r="S208" s="11"/>
      <c r="T208" s="11"/>
      <c r="U208" s="11"/>
      <c r="Y208" s="27"/>
      <c r="Z208" s="11"/>
      <c r="AE208" s="11"/>
      <c r="AH208" s="28"/>
      <c r="AI208" s="28"/>
      <c r="AJ208" s="12"/>
      <c r="AK208" s="29"/>
      <c r="AL208" s="12"/>
    </row>
    <row r="209" spans="9:38" x14ac:dyDescent="0.25">
      <c r="I209" s="15"/>
      <c r="K209" s="16"/>
      <c r="L209" s="16"/>
      <c r="M209" s="16"/>
      <c r="N209" s="16"/>
      <c r="O209" s="16"/>
      <c r="S209" s="11"/>
      <c r="T209" s="11"/>
      <c r="U209" s="11"/>
      <c r="Y209" s="27"/>
      <c r="Z209" s="11"/>
      <c r="AE209" s="11"/>
      <c r="AH209" s="28"/>
      <c r="AI209" s="28"/>
      <c r="AJ209" s="12"/>
      <c r="AK209" s="29"/>
      <c r="AL209" s="12"/>
    </row>
    <row r="210" spans="9:38" x14ac:dyDescent="0.25">
      <c r="I210" s="15"/>
      <c r="K210" s="16"/>
      <c r="L210" s="16"/>
      <c r="M210" s="16"/>
      <c r="N210" s="16"/>
      <c r="O210" s="16"/>
      <c r="S210" s="11"/>
      <c r="T210" s="11"/>
      <c r="U210" s="11"/>
      <c r="Y210" s="27"/>
      <c r="Z210" s="11"/>
      <c r="AE210" s="11"/>
      <c r="AH210" s="28"/>
      <c r="AI210" s="28"/>
      <c r="AJ210" s="12"/>
      <c r="AK210" s="29"/>
      <c r="AL210" s="12"/>
    </row>
    <row r="211" spans="9:38" x14ac:dyDescent="0.25">
      <c r="I211" s="15"/>
      <c r="K211" s="16"/>
      <c r="L211" s="16"/>
      <c r="M211" s="16"/>
      <c r="N211" s="16"/>
      <c r="O211" s="16"/>
      <c r="S211" s="11"/>
      <c r="T211" s="11"/>
      <c r="U211" s="11"/>
      <c r="Y211" s="27"/>
      <c r="Z211" s="11"/>
      <c r="AE211" s="11"/>
      <c r="AH211" s="28"/>
      <c r="AI211" s="28"/>
      <c r="AJ211" s="12"/>
      <c r="AK211" s="29"/>
      <c r="AL211" s="12"/>
    </row>
    <row r="212" spans="9:38" x14ac:dyDescent="0.25">
      <c r="I212" s="15"/>
      <c r="K212" s="16"/>
      <c r="L212" s="16"/>
      <c r="M212" s="16"/>
      <c r="N212" s="16"/>
      <c r="O212" s="16"/>
      <c r="S212" s="11"/>
      <c r="T212" s="11"/>
      <c r="U212" s="11"/>
      <c r="Y212" s="27"/>
      <c r="Z212" s="11"/>
      <c r="AE212" s="11"/>
      <c r="AH212" s="28"/>
      <c r="AI212" s="28"/>
      <c r="AJ212" s="12"/>
      <c r="AK212" s="29"/>
      <c r="AL212" s="12"/>
    </row>
    <row r="213" spans="9:38" x14ac:dyDescent="0.25">
      <c r="I213" s="15"/>
      <c r="K213" s="16"/>
      <c r="L213" s="16"/>
      <c r="M213" s="16"/>
      <c r="N213" s="16"/>
      <c r="O213" s="16"/>
      <c r="S213" s="11"/>
      <c r="T213" s="11"/>
      <c r="U213" s="11"/>
      <c r="Y213" s="27"/>
      <c r="Z213" s="11"/>
      <c r="AE213" s="11"/>
      <c r="AH213" s="28"/>
      <c r="AI213" s="28"/>
      <c r="AJ213" s="12"/>
      <c r="AK213" s="29"/>
      <c r="AL213" s="12"/>
    </row>
    <row r="214" spans="9:38" x14ac:dyDescent="0.25">
      <c r="I214" s="15"/>
      <c r="K214" s="16"/>
      <c r="L214" s="16"/>
      <c r="M214" s="16"/>
      <c r="N214" s="16"/>
      <c r="O214" s="16"/>
      <c r="S214" s="11"/>
      <c r="T214" s="11"/>
      <c r="U214" s="11"/>
      <c r="Y214" s="27"/>
      <c r="Z214" s="11"/>
      <c r="AE214" s="11"/>
      <c r="AH214" s="28"/>
      <c r="AI214" s="28"/>
      <c r="AJ214" s="12"/>
      <c r="AK214" s="29"/>
      <c r="AL214" s="12"/>
    </row>
    <row r="215" spans="9:38" x14ac:dyDescent="0.25">
      <c r="I215" s="15"/>
      <c r="K215" s="16"/>
      <c r="L215" s="16"/>
      <c r="M215" s="16"/>
      <c r="N215" s="16"/>
      <c r="O215" s="16"/>
      <c r="S215" s="11"/>
      <c r="T215" s="11"/>
      <c r="U215" s="11"/>
      <c r="Y215" s="27"/>
      <c r="Z215" s="11"/>
      <c r="AE215" s="11"/>
      <c r="AH215" s="28"/>
      <c r="AI215" s="28"/>
      <c r="AJ215" s="12"/>
      <c r="AK215" s="29"/>
      <c r="AL215" s="12"/>
    </row>
    <row r="216" spans="9:38" x14ac:dyDescent="0.25">
      <c r="I216" s="15"/>
      <c r="K216" s="16"/>
      <c r="L216" s="16"/>
      <c r="M216" s="16"/>
      <c r="N216" s="16"/>
      <c r="O216" s="16"/>
      <c r="S216" s="11"/>
      <c r="T216" s="11"/>
      <c r="U216" s="11"/>
      <c r="Y216" s="27"/>
      <c r="Z216" s="11"/>
      <c r="AE216" s="11"/>
      <c r="AH216" s="28"/>
      <c r="AI216" s="28"/>
      <c r="AJ216" s="12"/>
      <c r="AK216" s="29"/>
      <c r="AL216" s="12"/>
    </row>
    <row r="217" spans="9:38" x14ac:dyDescent="0.25">
      <c r="I217" s="15"/>
      <c r="K217" s="16"/>
      <c r="L217" s="16"/>
      <c r="M217" s="16"/>
      <c r="N217" s="16"/>
      <c r="O217" s="16"/>
      <c r="S217" s="11"/>
      <c r="T217" s="11"/>
      <c r="U217" s="11"/>
      <c r="Y217" s="27"/>
      <c r="Z217" s="11"/>
      <c r="AE217" s="11"/>
      <c r="AH217" s="28"/>
      <c r="AI217" s="28"/>
      <c r="AJ217" s="12"/>
      <c r="AK217" s="29"/>
      <c r="AL217" s="12"/>
    </row>
    <row r="218" spans="9:38" x14ac:dyDescent="0.25">
      <c r="I218" s="15"/>
      <c r="K218" s="16"/>
      <c r="L218" s="16"/>
      <c r="M218" s="16"/>
      <c r="N218" s="16"/>
      <c r="O218" s="16"/>
      <c r="S218" s="11"/>
      <c r="T218" s="11"/>
      <c r="U218" s="11"/>
      <c r="Y218" s="27"/>
      <c r="Z218" s="11"/>
      <c r="AE218" s="11"/>
      <c r="AH218" s="28"/>
      <c r="AI218" s="28"/>
      <c r="AJ218" s="12"/>
      <c r="AK218" s="29"/>
      <c r="AL218" s="12"/>
    </row>
    <row r="219" spans="9:38" x14ac:dyDescent="0.25">
      <c r="I219" s="15"/>
      <c r="K219" s="16"/>
      <c r="L219" s="16"/>
      <c r="M219" s="16"/>
      <c r="N219" s="16"/>
      <c r="O219" s="16"/>
      <c r="S219" s="11"/>
      <c r="T219" s="11"/>
      <c r="U219" s="11"/>
      <c r="Y219" s="27"/>
      <c r="Z219" s="11"/>
      <c r="AE219" s="11"/>
      <c r="AH219" s="28"/>
      <c r="AI219" s="28"/>
      <c r="AJ219" s="12"/>
      <c r="AK219" s="29"/>
      <c r="AL219" s="12"/>
    </row>
    <row r="220" spans="9:38" x14ac:dyDescent="0.25">
      <c r="I220" s="15"/>
      <c r="K220" s="16"/>
      <c r="L220" s="16"/>
      <c r="M220" s="16"/>
      <c r="N220" s="16"/>
      <c r="O220" s="16"/>
      <c r="S220" s="11"/>
      <c r="T220" s="11"/>
      <c r="U220" s="11"/>
      <c r="Y220" s="27"/>
      <c r="Z220" s="11"/>
      <c r="AE220" s="11"/>
      <c r="AH220" s="28"/>
      <c r="AI220" s="28"/>
      <c r="AJ220" s="12"/>
      <c r="AK220" s="29"/>
      <c r="AL220" s="12"/>
    </row>
    <row r="221" spans="9:38" x14ac:dyDescent="0.25">
      <c r="I221" s="15"/>
      <c r="K221" s="16"/>
      <c r="L221" s="16"/>
      <c r="M221" s="16"/>
      <c r="N221" s="16"/>
      <c r="O221" s="16"/>
      <c r="S221" s="11"/>
      <c r="T221" s="11"/>
      <c r="U221" s="11"/>
      <c r="Y221" s="27"/>
      <c r="Z221" s="11"/>
      <c r="AE221" s="11"/>
      <c r="AH221" s="28"/>
      <c r="AI221" s="28"/>
      <c r="AJ221" s="12"/>
      <c r="AK221" s="29"/>
      <c r="AL221" s="12"/>
    </row>
    <row r="222" spans="9:38" x14ac:dyDescent="0.25">
      <c r="I222" s="15"/>
      <c r="K222" s="16"/>
      <c r="L222" s="16"/>
      <c r="M222" s="16"/>
      <c r="N222" s="16"/>
      <c r="O222" s="16"/>
      <c r="S222" s="11"/>
      <c r="T222" s="11"/>
      <c r="U222" s="11"/>
      <c r="Y222" s="27"/>
      <c r="Z222" s="11"/>
      <c r="AE222" s="11"/>
      <c r="AH222" s="28"/>
      <c r="AI222" s="28"/>
      <c r="AJ222" s="12"/>
      <c r="AK222" s="29"/>
      <c r="AL222" s="12"/>
    </row>
    <row r="223" spans="9:38" x14ac:dyDescent="0.25">
      <c r="I223" s="15"/>
      <c r="K223" s="16"/>
      <c r="L223" s="16"/>
      <c r="M223" s="16"/>
      <c r="N223" s="16"/>
      <c r="O223" s="16"/>
      <c r="S223" s="11"/>
      <c r="T223" s="11"/>
      <c r="U223" s="11"/>
      <c r="Y223" s="27"/>
      <c r="Z223" s="11"/>
      <c r="AE223" s="11"/>
      <c r="AH223" s="28"/>
      <c r="AI223" s="28"/>
      <c r="AJ223" s="12"/>
      <c r="AK223" s="29"/>
      <c r="AL223" s="12"/>
    </row>
    <row r="224" spans="9:38" x14ac:dyDescent="0.25">
      <c r="I224" s="15"/>
      <c r="K224" s="16"/>
      <c r="L224" s="16"/>
      <c r="M224" s="16"/>
      <c r="N224" s="16"/>
      <c r="O224" s="16"/>
      <c r="S224" s="11"/>
      <c r="T224" s="11"/>
      <c r="U224" s="11"/>
      <c r="Y224" s="27"/>
      <c r="Z224" s="11"/>
      <c r="AE224" s="11"/>
      <c r="AH224" s="28"/>
      <c r="AI224" s="28"/>
      <c r="AJ224" s="12"/>
      <c r="AK224" s="29"/>
      <c r="AL224" s="12"/>
    </row>
    <row r="225" spans="9:38" x14ac:dyDescent="0.25">
      <c r="I225" s="15"/>
      <c r="K225" s="16"/>
      <c r="L225" s="16"/>
      <c r="M225" s="16"/>
      <c r="N225" s="16"/>
      <c r="O225" s="16"/>
      <c r="S225" s="11"/>
      <c r="T225" s="11"/>
      <c r="U225" s="11"/>
      <c r="Y225" s="27"/>
      <c r="Z225" s="11"/>
      <c r="AE225" s="11"/>
      <c r="AH225" s="28"/>
      <c r="AI225" s="28"/>
      <c r="AJ225" s="12"/>
      <c r="AK225" s="29"/>
      <c r="AL225" s="12"/>
    </row>
    <row r="226" spans="9:38" x14ac:dyDescent="0.25">
      <c r="I226" s="15"/>
      <c r="K226" s="16"/>
      <c r="L226" s="16"/>
      <c r="M226" s="16"/>
      <c r="N226" s="16"/>
      <c r="O226" s="16"/>
      <c r="S226" s="11"/>
      <c r="T226" s="11"/>
      <c r="U226" s="11"/>
      <c r="Y226" s="27"/>
      <c r="Z226" s="11"/>
      <c r="AE226" s="11"/>
      <c r="AH226" s="28"/>
      <c r="AI226" s="28"/>
      <c r="AJ226" s="12"/>
      <c r="AK226" s="29"/>
      <c r="AL226" s="12"/>
    </row>
    <row r="227" spans="9:38" x14ac:dyDescent="0.25">
      <c r="I227" s="15"/>
      <c r="K227" s="16"/>
      <c r="L227" s="16"/>
      <c r="M227" s="16"/>
      <c r="N227" s="16"/>
      <c r="O227" s="16"/>
      <c r="S227" s="11"/>
      <c r="T227" s="11"/>
      <c r="U227" s="11"/>
      <c r="Y227" s="27"/>
      <c r="Z227" s="11"/>
      <c r="AE227" s="11"/>
      <c r="AH227" s="28"/>
      <c r="AI227" s="28"/>
      <c r="AJ227" s="12"/>
      <c r="AK227" s="29"/>
      <c r="AL227" s="12"/>
    </row>
    <row r="228" spans="9:38" x14ac:dyDescent="0.25">
      <c r="I228" s="15"/>
      <c r="K228" s="16"/>
      <c r="L228" s="16"/>
      <c r="M228" s="16"/>
      <c r="N228" s="16"/>
      <c r="O228" s="16"/>
      <c r="S228" s="11"/>
      <c r="T228" s="11"/>
      <c r="U228" s="11"/>
      <c r="Y228" s="27"/>
      <c r="Z228" s="11"/>
      <c r="AE228" s="11"/>
      <c r="AH228" s="28"/>
      <c r="AI228" s="28"/>
      <c r="AJ228" s="12"/>
      <c r="AK228" s="29"/>
      <c r="AL228" s="12"/>
    </row>
    <row r="229" spans="9:38" x14ac:dyDescent="0.25">
      <c r="I229" s="15"/>
      <c r="K229" s="16"/>
      <c r="L229" s="16"/>
      <c r="M229" s="16"/>
      <c r="N229" s="16"/>
      <c r="O229" s="16"/>
      <c r="S229" s="11"/>
      <c r="T229" s="11"/>
      <c r="U229" s="11"/>
      <c r="Y229" s="27"/>
      <c r="Z229" s="11"/>
      <c r="AE229" s="11"/>
      <c r="AH229" s="28"/>
      <c r="AI229" s="28"/>
      <c r="AJ229" s="12"/>
      <c r="AK229" s="29"/>
      <c r="AL229" s="12"/>
    </row>
    <row r="230" spans="9:38" x14ac:dyDescent="0.25">
      <c r="I230" s="15"/>
      <c r="K230" s="16"/>
      <c r="L230" s="16"/>
      <c r="M230" s="16"/>
      <c r="N230" s="16"/>
      <c r="O230" s="16"/>
      <c r="S230" s="11"/>
      <c r="T230" s="11"/>
      <c r="U230" s="11"/>
      <c r="Y230" s="27"/>
      <c r="Z230" s="11"/>
      <c r="AE230" s="11"/>
      <c r="AH230" s="28"/>
      <c r="AI230" s="28"/>
      <c r="AJ230" s="12"/>
      <c r="AK230" s="29"/>
      <c r="AL230" s="12"/>
    </row>
    <row r="231" spans="9:38" x14ac:dyDescent="0.25">
      <c r="I231" s="15"/>
      <c r="K231" s="16"/>
      <c r="L231" s="16"/>
      <c r="M231" s="16"/>
      <c r="N231" s="16"/>
      <c r="O231" s="16"/>
      <c r="S231" s="11"/>
      <c r="T231" s="11"/>
      <c r="U231" s="11"/>
      <c r="Y231" s="27"/>
      <c r="Z231" s="11"/>
      <c r="AE231" s="11"/>
      <c r="AH231" s="28"/>
      <c r="AI231" s="28"/>
      <c r="AJ231" s="12"/>
      <c r="AK231" s="29"/>
      <c r="AL231" s="12"/>
    </row>
    <row r="232" spans="9:38" x14ac:dyDescent="0.25">
      <c r="I232" s="15"/>
      <c r="K232" s="16"/>
      <c r="L232" s="16"/>
      <c r="M232" s="16"/>
      <c r="N232" s="16"/>
      <c r="O232" s="16"/>
      <c r="S232" s="11"/>
      <c r="T232" s="11"/>
      <c r="U232" s="11"/>
      <c r="Y232" s="27"/>
      <c r="Z232" s="11"/>
      <c r="AE232" s="11"/>
      <c r="AH232" s="28"/>
      <c r="AI232" s="28"/>
      <c r="AJ232" s="12"/>
      <c r="AK232" s="29"/>
      <c r="AL232" s="12"/>
    </row>
    <row r="233" spans="9:38" x14ac:dyDescent="0.25">
      <c r="I233" s="15"/>
      <c r="K233" s="16"/>
      <c r="L233" s="16"/>
      <c r="M233" s="16"/>
      <c r="N233" s="16"/>
      <c r="O233" s="16"/>
      <c r="S233" s="11"/>
      <c r="T233" s="11"/>
      <c r="U233" s="11"/>
      <c r="Y233" s="27"/>
      <c r="Z233" s="11"/>
      <c r="AE233" s="11"/>
      <c r="AH233" s="28"/>
      <c r="AI233" s="28"/>
      <c r="AJ233" s="12"/>
      <c r="AK233" s="29"/>
      <c r="AL233" s="12"/>
    </row>
    <row r="234" spans="9:38" x14ac:dyDescent="0.25">
      <c r="I234" s="15"/>
      <c r="K234" s="16"/>
      <c r="L234" s="16"/>
      <c r="M234" s="16"/>
      <c r="N234" s="16"/>
      <c r="O234" s="16"/>
      <c r="S234" s="11"/>
      <c r="T234" s="11"/>
      <c r="U234" s="11"/>
      <c r="Y234" s="27"/>
      <c r="Z234" s="11"/>
      <c r="AE234" s="11"/>
      <c r="AH234" s="28"/>
      <c r="AI234" s="28"/>
      <c r="AJ234" s="12"/>
      <c r="AK234" s="29"/>
      <c r="AL234" s="12"/>
    </row>
    <row r="235" spans="9:38" x14ac:dyDescent="0.25">
      <c r="I235" s="15"/>
      <c r="K235" s="16"/>
      <c r="L235" s="16"/>
      <c r="M235" s="16"/>
      <c r="N235" s="16"/>
      <c r="O235" s="16"/>
      <c r="S235" s="11"/>
      <c r="T235" s="11"/>
      <c r="U235" s="11"/>
      <c r="Y235" s="27"/>
      <c r="Z235" s="11"/>
      <c r="AE235" s="11"/>
      <c r="AH235" s="28"/>
      <c r="AI235" s="28"/>
      <c r="AJ235" s="12"/>
      <c r="AK235" s="29"/>
      <c r="AL235" s="12"/>
    </row>
    <row r="236" spans="9:38" x14ac:dyDescent="0.25">
      <c r="I236" s="15"/>
      <c r="K236" s="16"/>
      <c r="L236" s="16"/>
      <c r="M236" s="16"/>
      <c r="N236" s="16"/>
      <c r="O236" s="16"/>
      <c r="S236" s="11"/>
      <c r="T236" s="11"/>
      <c r="U236" s="11"/>
      <c r="Y236" s="27"/>
      <c r="Z236" s="11"/>
      <c r="AE236" s="11"/>
      <c r="AH236" s="28"/>
      <c r="AI236" s="28"/>
      <c r="AJ236" s="12"/>
      <c r="AK236" s="29"/>
      <c r="AL236" s="12"/>
    </row>
    <row r="237" spans="9:38" x14ac:dyDescent="0.25">
      <c r="I237" s="15"/>
      <c r="K237" s="16"/>
      <c r="L237" s="16"/>
      <c r="M237" s="16"/>
      <c r="N237" s="16"/>
      <c r="O237" s="16"/>
      <c r="S237" s="11"/>
      <c r="T237" s="11"/>
      <c r="U237" s="11"/>
      <c r="Y237" s="27"/>
      <c r="Z237" s="11"/>
      <c r="AE237" s="11"/>
      <c r="AH237" s="28"/>
      <c r="AI237" s="28"/>
      <c r="AJ237" s="12"/>
      <c r="AK237" s="29"/>
      <c r="AL237" s="12"/>
    </row>
    <row r="238" spans="9:38" x14ac:dyDescent="0.25">
      <c r="I238" s="15"/>
      <c r="K238" s="16"/>
      <c r="L238" s="16"/>
      <c r="M238" s="16"/>
      <c r="N238" s="16"/>
      <c r="O238" s="16"/>
      <c r="S238" s="11"/>
      <c r="T238" s="11"/>
      <c r="U238" s="11"/>
      <c r="Y238" s="27"/>
      <c r="Z238" s="11"/>
      <c r="AE238" s="11"/>
      <c r="AH238" s="28"/>
      <c r="AI238" s="28"/>
      <c r="AJ238" s="12"/>
      <c r="AK238" s="29"/>
      <c r="AL238" s="12"/>
    </row>
    <row r="239" spans="9:38" x14ac:dyDescent="0.25">
      <c r="I239" s="15"/>
      <c r="K239" s="16"/>
      <c r="L239" s="16"/>
      <c r="M239" s="16"/>
      <c r="N239" s="16"/>
      <c r="O239" s="16"/>
      <c r="S239" s="11"/>
      <c r="T239" s="11"/>
      <c r="U239" s="11"/>
      <c r="Y239" s="27"/>
      <c r="Z239" s="11"/>
      <c r="AE239" s="11"/>
      <c r="AH239" s="28"/>
      <c r="AI239" s="28"/>
      <c r="AJ239" s="12"/>
      <c r="AK239" s="29"/>
      <c r="AL239" s="12"/>
    </row>
    <row r="240" spans="9:38" x14ac:dyDescent="0.25">
      <c r="I240" s="15"/>
      <c r="K240" s="16"/>
      <c r="L240" s="16"/>
      <c r="M240" s="16"/>
      <c r="N240" s="16"/>
      <c r="O240" s="16"/>
      <c r="S240" s="11"/>
      <c r="T240" s="11"/>
      <c r="U240" s="11"/>
      <c r="Y240" s="27"/>
      <c r="Z240" s="11"/>
      <c r="AE240" s="11"/>
      <c r="AH240" s="28"/>
      <c r="AI240" s="28"/>
      <c r="AJ240" s="12"/>
      <c r="AK240" s="29"/>
      <c r="AL240" s="12"/>
    </row>
    <row r="241" spans="9:38" x14ac:dyDescent="0.25">
      <c r="I241" s="15"/>
      <c r="K241" s="16"/>
      <c r="L241" s="16"/>
      <c r="M241" s="16"/>
      <c r="N241" s="16"/>
      <c r="O241" s="16"/>
      <c r="S241" s="11"/>
      <c r="T241" s="11"/>
      <c r="U241" s="11"/>
      <c r="Y241" s="27"/>
      <c r="Z241" s="11"/>
      <c r="AE241" s="11"/>
      <c r="AH241" s="28"/>
      <c r="AI241" s="28"/>
      <c r="AJ241" s="12"/>
      <c r="AK241" s="29"/>
      <c r="AL241" s="12"/>
    </row>
    <row r="242" spans="9:38" x14ac:dyDescent="0.25">
      <c r="I242" s="15"/>
      <c r="K242" s="16"/>
      <c r="L242" s="16"/>
      <c r="M242" s="16"/>
      <c r="N242" s="16"/>
      <c r="O242" s="16"/>
      <c r="S242" s="11"/>
      <c r="T242" s="11"/>
      <c r="U242" s="11"/>
      <c r="Y242" s="27"/>
      <c r="Z242" s="11"/>
      <c r="AE242" s="11"/>
      <c r="AH242" s="28"/>
      <c r="AI242" s="28"/>
      <c r="AJ242" s="12"/>
      <c r="AK242" s="29"/>
      <c r="AL242" s="12"/>
    </row>
    <row r="243" spans="9:38" x14ac:dyDescent="0.25">
      <c r="I243" s="15"/>
      <c r="K243" s="16"/>
      <c r="L243" s="16"/>
      <c r="M243" s="16"/>
      <c r="N243" s="16"/>
      <c r="O243" s="16"/>
      <c r="S243" s="11"/>
      <c r="T243" s="11"/>
      <c r="U243" s="11"/>
      <c r="Y243" s="27"/>
      <c r="Z243" s="11"/>
      <c r="AE243" s="11"/>
      <c r="AH243" s="28"/>
      <c r="AI243" s="28"/>
      <c r="AJ243" s="12"/>
      <c r="AK243" s="29"/>
      <c r="AL243" s="12"/>
    </row>
    <row r="244" spans="9:38" x14ac:dyDescent="0.25">
      <c r="I244" s="15"/>
      <c r="K244" s="16"/>
      <c r="L244" s="16"/>
      <c r="M244" s="16"/>
      <c r="N244" s="16"/>
      <c r="O244" s="16"/>
      <c r="S244" s="11"/>
      <c r="T244" s="11"/>
      <c r="U244" s="11"/>
      <c r="Y244" s="27"/>
      <c r="Z244" s="11"/>
      <c r="AE244" s="11"/>
      <c r="AH244" s="28"/>
      <c r="AI244" s="28"/>
      <c r="AJ244" s="12"/>
      <c r="AK244" s="29"/>
      <c r="AL244" s="12"/>
    </row>
    <row r="245" spans="9:38" x14ac:dyDescent="0.25">
      <c r="I245" s="15"/>
      <c r="K245" s="16"/>
      <c r="L245" s="16"/>
      <c r="M245" s="16"/>
      <c r="N245" s="16"/>
      <c r="O245" s="16"/>
      <c r="S245" s="11"/>
      <c r="T245" s="11"/>
      <c r="U245" s="11"/>
      <c r="Y245" s="27"/>
      <c r="Z245" s="11"/>
      <c r="AE245" s="11"/>
      <c r="AH245" s="28"/>
      <c r="AI245" s="28"/>
      <c r="AJ245" s="12"/>
      <c r="AK245" s="29"/>
      <c r="AL245" s="12"/>
    </row>
    <row r="246" spans="9:38" x14ac:dyDescent="0.25">
      <c r="I246" s="15"/>
      <c r="K246" s="16"/>
      <c r="L246" s="16"/>
      <c r="M246" s="16"/>
      <c r="N246" s="16"/>
      <c r="O246" s="16"/>
      <c r="S246" s="11"/>
      <c r="T246" s="11"/>
      <c r="U246" s="11"/>
      <c r="Y246" s="27"/>
      <c r="Z246" s="11"/>
      <c r="AE246" s="11"/>
      <c r="AH246" s="28"/>
      <c r="AI246" s="28"/>
      <c r="AJ246" s="12"/>
      <c r="AK246" s="29"/>
      <c r="AL246" s="12"/>
    </row>
    <row r="247" spans="9:38" x14ac:dyDescent="0.25">
      <c r="I247" s="15"/>
      <c r="K247" s="16"/>
      <c r="L247" s="16"/>
      <c r="M247" s="16"/>
      <c r="N247" s="16"/>
      <c r="O247" s="16"/>
      <c r="S247" s="11"/>
      <c r="T247" s="11"/>
      <c r="U247" s="11"/>
      <c r="Y247" s="27"/>
      <c r="Z247" s="11"/>
      <c r="AE247" s="11"/>
      <c r="AH247" s="28"/>
      <c r="AI247" s="28"/>
      <c r="AJ247" s="12"/>
      <c r="AK247" s="29"/>
      <c r="AL247" s="12"/>
    </row>
    <row r="248" spans="9:38" x14ac:dyDescent="0.25">
      <c r="I248" s="15"/>
      <c r="K248" s="16"/>
      <c r="L248" s="16"/>
      <c r="M248" s="16"/>
      <c r="N248" s="16"/>
      <c r="O248" s="16"/>
      <c r="S248" s="11"/>
      <c r="T248" s="11"/>
      <c r="U248" s="11"/>
      <c r="Y248" s="27"/>
      <c r="Z248" s="11"/>
      <c r="AE248" s="11"/>
      <c r="AH248" s="28"/>
      <c r="AI248" s="28"/>
      <c r="AJ248" s="12"/>
      <c r="AK248" s="29"/>
      <c r="AL248" s="12"/>
    </row>
    <row r="249" spans="9:38" x14ac:dyDescent="0.25">
      <c r="I249" s="15"/>
      <c r="K249" s="16"/>
      <c r="L249" s="16"/>
      <c r="M249" s="16"/>
      <c r="N249" s="16"/>
      <c r="O249" s="16"/>
      <c r="S249" s="11"/>
      <c r="T249" s="11"/>
      <c r="U249" s="11"/>
      <c r="Y249" s="27"/>
      <c r="Z249" s="11"/>
      <c r="AE249" s="11"/>
      <c r="AH249" s="28"/>
      <c r="AI249" s="28"/>
      <c r="AJ249" s="12"/>
      <c r="AK249" s="29"/>
      <c r="AL249" s="12"/>
    </row>
    <row r="250" spans="9:38" x14ac:dyDescent="0.25">
      <c r="I250" s="15"/>
      <c r="K250" s="16"/>
      <c r="L250" s="16"/>
      <c r="M250" s="16"/>
      <c r="N250" s="16"/>
      <c r="O250" s="16"/>
      <c r="S250" s="11"/>
      <c r="T250" s="11"/>
      <c r="U250" s="11"/>
      <c r="Y250" s="27"/>
      <c r="Z250" s="11"/>
      <c r="AE250" s="11"/>
      <c r="AH250" s="28"/>
      <c r="AI250" s="28"/>
      <c r="AJ250" s="12"/>
      <c r="AK250" s="29"/>
      <c r="AL250" s="12"/>
    </row>
    <row r="251" spans="9:38" x14ac:dyDescent="0.25">
      <c r="I251" s="15"/>
      <c r="K251" s="16"/>
      <c r="L251" s="16"/>
      <c r="M251" s="16"/>
      <c r="N251" s="16"/>
      <c r="O251" s="16"/>
      <c r="S251" s="11"/>
      <c r="T251" s="11"/>
      <c r="U251" s="11"/>
      <c r="Y251" s="27"/>
      <c r="Z251" s="11"/>
      <c r="AE251" s="11"/>
      <c r="AH251" s="28"/>
      <c r="AI251" s="28"/>
      <c r="AJ251" s="12"/>
      <c r="AK251" s="29"/>
      <c r="AL251" s="12"/>
    </row>
    <row r="252" spans="9:38" x14ac:dyDescent="0.25">
      <c r="I252" s="15"/>
      <c r="K252" s="16"/>
      <c r="L252" s="16"/>
      <c r="M252" s="16"/>
      <c r="N252" s="16"/>
      <c r="O252" s="16"/>
      <c r="S252" s="11"/>
      <c r="T252" s="11"/>
      <c r="U252" s="11"/>
      <c r="Y252" s="27"/>
      <c r="Z252" s="11"/>
      <c r="AE252" s="11"/>
      <c r="AH252" s="28"/>
      <c r="AI252" s="28"/>
      <c r="AJ252" s="12"/>
      <c r="AK252" s="29"/>
      <c r="AL252" s="12"/>
    </row>
    <row r="253" spans="9:38" x14ac:dyDescent="0.25">
      <c r="I253" s="15"/>
      <c r="K253" s="16"/>
      <c r="L253" s="16"/>
      <c r="M253" s="16"/>
      <c r="N253" s="16"/>
      <c r="O253" s="16"/>
      <c r="S253" s="11"/>
      <c r="T253" s="11"/>
      <c r="U253" s="11"/>
      <c r="Y253" s="27"/>
      <c r="Z253" s="11"/>
      <c r="AE253" s="11"/>
      <c r="AH253" s="28"/>
      <c r="AI253" s="28"/>
      <c r="AJ253" s="12"/>
      <c r="AK253" s="29"/>
      <c r="AL253" s="12"/>
    </row>
    <row r="254" spans="9:38" x14ac:dyDescent="0.25">
      <c r="I254" s="15"/>
      <c r="K254" s="16"/>
      <c r="L254" s="16"/>
      <c r="M254" s="16"/>
      <c r="N254" s="16"/>
      <c r="O254" s="16"/>
      <c r="S254" s="11"/>
      <c r="T254" s="11"/>
      <c r="U254" s="11"/>
      <c r="Y254" s="27"/>
      <c r="Z254" s="11"/>
      <c r="AE254" s="11"/>
      <c r="AH254" s="28"/>
      <c r="AI254" s="28"/>
      <c r="AJ254" s="12"/>
      <c r="AK254" s="29"/>
      <c r="AL254" s="12"/>
    </row>
    <row r="255" spans="9:38" x14ac:dyDescent="0.25">
      <c r="I255" s="15"/>
      <c r="K255" s="16"/>
      <c r="L255" s="16"/>
      <c r="M255" s="16"/>
      <c r="N255" s="16"/>
      <c r="O255" s="16"/>
      <c r="S255" s="11"/>
      <c r="T255" s="11"/>
      <c r="U255" s="11"/>
      <c r="Y255" s="27"/>
      <c r="Z255" s="11"/>
      <c r="AE255" s="11"/>
      <c r="AH255" s="28"/>
      <c r="AI255" s="28"/>
      <c r="AJ255" s="12"/>
      <c r="AK255" s="29"/>
      <c r="AL255" s="12"/>
    </row>
    <row r="256" spans="9:38" x14ac:dyDescent="0.25">
      <c r="I256" s="15"/>
      <c r="K256" s="16"/>
      <c r="L256" s="16"/>
      <c r="M256" s="16"/>
      <c r="N256" s="16"/>
      <c r="O256" s="16"/>
      <c r="S256" s="11"/>
      <c r="T256" s="11"/>
      <c r="U256" s="11"/>
      <c r="Y256" s="27"/>
      <c r="Z256" s="11"/>
      <c r="AE256" s="11"/>
      <c r="AH256" s="28"/>
      <c r="AI256" s="28"/>
      <c r="AJ256" s="12"/>
      <c r="AK256" s="29"/>
      <c r="AL256" s="12"/>
    </row>
    <row r="257" spans="9:38" x14ac:dyDescent="0.25">
      <c r="I257" s="15"/>
      <c r="K257" s="16"/>
      <c r="L257" s="16"/>
      <c r="M257" s="16"/>
      <c r="N257" s="16"/>
      <c r="O257" s="16"/>
      <c r="S257" s="11"/>
      <c r="T257" s="11"/>
      <c r="U257" s="11"/>
      <c r="Y257" s="27"/>
      <c r="Z257" s="11"/>
      <c r="AE257" s="11"/>
      <c r="AH257" s="28"/>
      <c r="AI257" s="28"/>
      <c r="AJ257" s="12"/>
      <c r="AK257" s="29"/>
      <c r="AL257" s="12"/>
    </row>
    <row r="258" spans="9:38" x14ac:dyDescent="0.25">
      <c r="I258" s="15"/>
      <c r="K258" s="16"/>
      <c r="L258" s="16"/>
      <c r="M258" s="16"/>
      <c r="N258" s="16"/>
      <c r="O258" s="16"/>
      <c r="S258" s="11"/>
      <c r="T258" s="11"/>
      <c r="U258" s="11"/>
      <c r="Y258" s="27"/>
      <c r="Z258" s="11"/>
      <c r="AE258" s="11"/>
      <c r="AH258" s="28"/>
      <c r="AI258" s="28"/>
      <c r="AJ258" s="12"/>
      <c r="AK258" s="29"/>
      <c r="AL258" s="12"/>
    </row>
    <row r="259" spans="9:38" x14ac:dyDescent="0.25">
      <c r="I259" s="15"/>
      <c r="K259" s="16"/>
      <c r="L259" s="16"/>
      <c r="M259" s="16"/>
      <c r="N259" s="16"/>
      <c r="O259" s="16"/>
      <c r="S259" s="11"/>
      <c r="T259" s="11"/>
      <c r="U259" s="11"/>
      <c r="Y259" s="27"/>
      <c r="Z259" s="11"/>
      <c r="AE259" s="11"/>
      <c r="AH259" s="28"/>
      <c r="AI259" s="28"/>
      <c r="AJ259" s="12"/>
      <c r="AK259" s="29"/>
      <c r="AL259" s="12"/>
    </row>
    <row r="260" spans="9:38" x14ac:dyDescent="0.25">
      <c r="I260" s="15"/>
      <c r="K260" s="16"/>
      <c r="L260" s="16"/>
      <c r="M260" s="16"/>
      <c r="N260" s="16"/>
      <c r="O260" s="16"/>
      <c r="S260" s="11"/>
      <c r="T260" s="11"/>
      <c r="U260" s="11"/>
      <c r="Y260" s="27"/>
      <c r="Z260" s="11"/>
      <c r="AE260" s="11"/>
      <c r="AH260" s="28"/>
      <c r="AI260" s="28"/>
      <c r="AJ260" s="12"/>
      <c r="AK260" s="29"/>
      <c r="AL260" s="12"/>
    </row>
    <row r="261" spans="9:38" x14ac:dyDescent="0.25">
      <c r="I261" s="15"/>
      <c r="K261" s="16"/>
      <c r="L261" s="16"/>
      <c r="M261" s="16"/>
      <c r="N261" s="16"/>
      <c r="O261" s="16"/>
      <c r="S261" s="11"/>
      <c r="T261" s="11"/>
      <c r="U261" s="11"/>
      <c r="Y261" s="27"/>
      <c r="Z261" s="11"/>
      <c r="AE261" s="11"/>
      <c r="AH261" s="28"/>
      <c r="AI261" s="28"/>
      <c r="AJ261" s="12"/>
      <c r="AK261" s="29"/>
      <c r="AL261" s="12"/>
    </row>
    <row r="262" spans="9:38" x14ac:dyDescent="0.25">
      <c r="I262" s="15"/>
      <c r="K262" s="16"/>
      <c r="L262" s="16"/>
      <c r="M262" s="16"/>
      <c r="N262" s="16"/>
      <c r="O262" s="16"/>
      <c r="S262" s="11"/>
      <c r="T262" s="11"/>
      <c r="U262" s="11"/>
      <c r="Y262" s="27"/>
      <c r="Z262" s="11"/>
      <c r="AE262" s="11"/>
      <c r="AH262" s="28"/>
      <c r="AI262" s="28"/>
      <c r="AJ262" s="12"/>
      <c r="AK262" s="29"/>
      <c r="AL262" s="12"/>
    </row>
    <row r="263" spans="9:38" x14ac:dyDescent="0.25">
      <c r="I263" s="15"/>
      <c r="K263" s="16"/>
      <c r="L263" s="16"/>
      <c r="M263" s="16"/>
      <c r="N263" s="16"/>
      <c r="O263" s="16"/>
      <c r="S263" s="11"/>
      <c r="T263" s="11"/>
      <c r="U263" s="11"/>
      <c r="Y263" s="27"/>
      <c r="Z263" s="11"/>
      <c r="AE263" s="11"/>
      <c r="AH263" s="28"/>
      <c r="AI263" s="28"/>
      <c r="AJ263" s="12"/>
      <c r="AK263" s="29"/>
      <c r="AL263" s="12"/>
    </row>
    <row r="264" spans="9:38" x14ac:dyDescent="0.25">
      <c r="I264" s="15"/>
      <c r="K264" s="16"/>
      <c r="L264" s="16"/>
      <c r="M264" s="16"/>
      <c r="N264" s="16"/>
      <c r="O264" s="16"/>
      <c r="S264" s="11"/>
      <c r="T264" s="11"/>
      <c r="U264" s="11"/>
      <c r="Y264" s="27"/>
      <c r="Z264" s="11"/>
      <c r="AE264" s="11"/>
      <c r="AH264" s="28"/>
      <c r="AI264" s="28"/>
      <c r="AJ264" s="12"/>
      <c r="AK264" s="29"/>
      <c r="AL264" s="12"/>
    </row>
    <row r="265" spans="9:38" x14ac:dyDescent="0.25">
      <c r="I265" s="15"/>
      <c r="K265" s="16"/>
      <c r="L265" s="16"/>
      <c r="M265" s="16"/>
      <c r="N265" s="16"/>
      <c r="O265" s="16"/>
      <c r="S265" s="11"/>
      <c r="T265" s="11"/>
      <c r="U265" s="11"/>
      <c r="Y265" s="27"/>
      <c r="Z265" s="11"/>
      <c r="AE265" s="11"/>
      <c r="AH265" s="28"/>
      <c r="AI265" s="28"/>
      <c r="AJ265" s="12"/>
      <c r="AK265" s="29"/>
      <c r="AL265" s="12"/>
    </row>
    <row r="266" spans="9:38" x14ac:dyDescent="0.25">
      <c r="I266" s="15"/>
      <c r="K266" s="16"/>
      <c r="L266" s="16"/>
      <c r="M266" s="16"/>
      <c r="N266" s="16"/>
      <c r="O266" s="16"/>
      <c r="S266" s="11"/>
      <c r="T266" s="11"/>
      <c r="U266" s="11"/>
      <c r="Y266" s="27"/>
      <c r="Z266" s="11"/>
      <c r="AE266" s="11"/>
      <c r="AH266" s="28"/>
      <c r="AI266" s="28"/>
      <c r="AJ266" s="12"/>
      <c r="AK266" s="29"/>
      <c r="AL266" s="12"/>
    </row>
    <row r="267" spans="9:38" x14ac:dyDescent="0.25">
      <c r="I267" s="15"/>
      <c r="K267" s="16"/>
      <c r="L267" s="16"/>
      <c r="M267" s="16"/>
      <c r="N267" s="16"/>
      <c r="O267" s="16"/>
      <c r="S267" s="11"/>
      <c r="T267" s="11"/>
      <c r="U267" s="11"/>
      <c r="Y267" s="27"/>
      <c r="Z267" s="11"/>
      <c r="AE267" s="11"/>
      <c r="AH267" s="28"/>
      <c r="AI267" s="28"/>
      <c r="AJ267" s="12"/>
      <c r="AK267" s="29"/>
      <c r="AL267" s="12"/>
    </row>
    <row r="268" spans="9:38" x14ac:dyDescent="0.25">
      <c r="I268" s="15"/>
      <c r="K268" s="16"/>
      <c r="L268" s="16"/>
      <c r="M268" s="16"/>
      <c r="N268" s="16"/>
      <c r="O268" s="16"/>
      <c r="S268" s="11"/>
      <c r="T268" s="11"/>
      <c r="U268" s="11"/>
      <c r="Y268" s="27"/>
      <c r="Z268" s="11"/>
      <c r="AE268" s="11"/>
      <c r="AH268" s="28"/>
      <c r="AI268" s="28"/>
      <c r="AJ268" s="12"/>
      <c r="AK268" s="29"/>
      <c r="AL268" s="12"/>
    </row>
    <row r="269" spans="9:38" x14ac:dyDescent="0.25">
      <c r="I269" s="15"/>
      <c r="K269" s="16"/>
      <c r="L269" s="16"/>
      <c r="M269" s="16"/>
      <c r="N269" s="16"/>
      <c r="O269" s="16"/>
      <c r="S269" s="11"/>
      <c r="T269" s="11"/>
      <c r="U269" s="11"/>
      <c r="Y269" s="27"/>
      <c r="Z269" s="11"/>
      <c r="AE269" s="11"/>
      <c r="AH269" s="28"/>
      <c r="AI269" s="28"/>
      <c r="AJ269" s="12"/>
      <c r="AK269" s="29"/>
      <c r="AL269" s="12"/>
    </row>
    <row r="270" spans="9:38" x14ac:dyDescent="0.25">
      <c r="I270" s="15"/>
      <c r="K270" s="16"/>
      <c r="L270" s="16"/>
      <c r="M270" s="16"/>
      <c r="N270" s="16"/>
      <c r="O270" s="16"/>
      <c r="S270" s="11"/>
      <c r="T270" s="11"/>
      <c r="U270" s="11"/>
      <c r="Y270" s="27"/>
      <c r="Z270" s="11"/>
      <c r="AE270" s="11"/>
      <c r="AH270" s="28"/>
      <c r="AI270" s="28"/>
      <c r="AJ270" s="12"/>
      <c r="AK270" s="29"/>
      <c r="AL270" s="12"/>
    </row>
    <row r="271" spans="9:38" x14ac:dyDescent="0.25">
      <c r="I271" s="15"/>
      <c r="K271" s="16"/>
      <c r="L271" s="16"/>
      <c r="M271" s="16"/>
      <c r="N271" s="16"/>
      <c r="O271" s="16"/>
      <c r="S271" s="11"/>
      <c r="T271" s="11"/>
      <c r="U271" s="11"/>
      <c r="Y271" s="27"/>
      <c r="Z271" s="11"/>
      <c r="AE271" s="11"/>
      <c r="AH271" s="28"/>
      <c r="AI271" s="28"/>
      <c r="AJ271" s="12"/>
      <c r="AK271" s="29"/>
      <c r="AL271" s="12"/>
    </row>
    <row r="272" spans="9:38" x14ac:dyDescent="0.25">
      <c r="I272" s="15"/>
      <c r="K272" s="16"/>
      <c r="L272" s="16"/>
      <c r="M272" s="16"/>
      <c r="N272" s="16"/>
      <c r="O272" s="16"/>
      <c r="S272" s="11"/>
      <c r="T272" s="11"/>
      <c r="U272" s="11"/>
      <c r="Y272" s="27"/>
      <c r="Z272" s="11"/>
      <c r="AE272" s="11"/>
      <c r="AH272" s="28"/>
      <c r="AI272" s="28"/>
      <c r="AJ272" s="12"/>
      <c r="AK272" s="29"/>
      <c r="AL272" s="12"/>
    </row>
    <row r="273" spans="9:38" x14ac:dyDescent="0.25">
      <c r="I273" s="15"/>
      <c r="K273" s="16"/>
      <c r="L273" s="16"/>
      <c r="M273" s="16"/>
      <c r="N273" s="16"/>
      <c r="O273" s="16"/>
      <c r="S273" s="11"/>
      <c r="T273" s="11"/>
      <c r="U273" s="11"/>
      <c r="Y273" s="27"/>
      <c r="Z273" s="11"/>
      <c r="AE273" s="11"/>
      <c r="AH273" s="28"/>
      <c r="AI273" s="28"/>
      <c r="AJ273" s="12"/>
      <c r="AK273" s="29"/>
      <c r="AL273" s="12"/>
    </row>
    <row r="274" spans="9:38" x14ac:dyDescent="0.25">
      <c r="I274" s="15"/>
      <c r="K274" s="16"/>
      <c r="L274" s="16"/>
      <c r="M274" s="16"/>
      <c r="N274" s="16"/>
      <c r="O274" s="16"/>
      <c r="S274" s="11"/>
      <c r="T274" s="11"/>
      <c r="U274" s="11"/>
      <c r="Y274" s="27"/>
      <c r="Z274" s="11"/>
      <c r="AE274" s="11"/>
      <c r="AH274" s="28"/>
      <c r="AI274" s="28"/>
      <c r="AJ274" s="12"/>
      <c r="AK274" s="29"/>
      <c r="AL274" s="12"/>
    </row>
    <row r="275" spans="9:38" x14ac:dyDescent="0.25">
      <c r="I275" s="15"/>
      <c r="K275" s="16"/>
      <c r="L275" s="16"/>
      <c r="M275" s="16"/>
      <c r="N275" s="16"/>
      <c r="O275" s="16"/>
      <c r="S275" s="11"/>
      <c r="T275" s="11"/>
      <c r="U275" s="11"/>
      <c r="Y275" s="27"/>
      <c r="Z275" s="11"/>
      <c r="AE275" s="11"/>
      <c r="AH275" s="28"/>
      <c r="AI275" s="28"/>
      <c r="AJ275" s="12"/>
      <c r="AK275" s="29"/>
      <c r="AL275" s="12"/>
    </row>
    <row r="276" spans="9:38" x14ac:dyDescent="0.25">
      <c r="I276" s="15"/>
      <c r="K276" s="16"/>
      <c r="L276" s="16"/>
      <c r="M276" s="16"/>
      <c r="N276" s="16"/>
      <c r="O276" s="16"/>
      <c r="S276" s="11"/>
      <c r="T276" s="11"/>
      <c r="U276" s="11"/>
      <c r="Y276" s="27"/>
      <c r="Z276" s="11"/>
      <c r="AE276" s="11"/>
      <c r="AH276" s="28"/>
      <c r="AI276" s="28"/>
      <c r="AJ276" s="12"/>
      <c r="AK276" s="29"/>
      <c r="AL276" s="12"/>
    </row>
    <row r="277" spans="9:38" x14ac:dyDescent="0.25">
      <c r="I277" s="15"/>
      <c r="K277" s="16"/>
      <c r="L277" s="16"/>
      <c r="M277" s="16"/>
      <c r="N277" s="16"/>
      <c r="O277" s="16"/>
      <c r="S277" s="11"/>
      <c r="T277" s="11"/>
      <c r="U277" s="11"/>
      <c r="Y277" s="27"/>
      <c r="Z277" s="11"/>
      <c r="AE277" s="11"/>
      <c r="AH277" s="28"/>
      <c r="AI277" s="28"/>
      <c r="AJ277" s="12"/>
      <c r="AK277" s="29"/>
      <c r="AL277" s="12"/>
    </row>
    <row r="278" spans="9:38" x14ac:dyDescent="0.25">
      <c r="I278" s="15"/>
      <c r="K278" s="16"/>
      <c r="L278" s="16"/>
      <c r="M278" s="16"/>
      <c r="N278" s="16"/>
      <c r="O278" s="16"/>
      <c r="S278" s="11"/>
      <c r="T278" s="11"/>
      <c r="U278" s="11"/>
      <c r="Y278" s="27"/>
      <c r="Z278" s="11"/>
      <c r="AE278" s="11"/>
      <c r="AH278" s="28"/>
      <c r="AI278" s="28"/>
      <c r="AJ278" s="12"/>
      <c r="AK278" s="29"/>
      <c r="AL278" s="12"/>
    </row>
    <row r="279" spans="9:38" x14ac:dyDescent="0.25">
      <c r="I279" s="15"/>
      <c r="K279" s="16"/>
      <c r="L279" s="16"/>
      <c r="M279" s="16"/>
      <c r="N279" s="16"/>
      <c r="O279" s="16"/>
      <c r="S279" s="11"/>
      <c r="T279" s="11"/>
      <c r="U279" s="11"/>
      <c r="Y279" s="27"/>
      <c r="Z279" s="11"/>
      <c r="AE279" s="11"/>
      <c r="AH279" s="28"/>
      <c r="AI279" s="28"/>
      <c r="AJ279" s="12"/>
      <c r="AK279" s="29"/>
      <c r="AL279" s="12"/>
    </row>
    <row r="280" spans="9:38" x14ac:dyDescent="0.25">
      <c r="I280" s="15"/>
      <c r="K280" s="16"/>
      <c r="L280" s="16"/>
      <c r="M280" s="16"/>
      <c r="N280" s="16"/>
      <c r="O280" s="16"/>
      <c r="S280" s="11"/>
      <c r="T280" s="11"/>
      <c r="U280" s="11"/>
      <c r="Y280" s="27"/>
      <c r="Z280" s="11"/>
      <c r="AE280" s="11"/>
      <c r="AH280" s="28"/>
      <c r="AI280" s="28"/>
      <c r="AJ280" s="12"/>
      <c r="AK280" s="29"/>
      <c r="AL280" s="12"/>
    </row>
    <row r="281" spans="9:38" x14ac:dyDescent="0.25">
      <c r="I281" s="15"/>
      <c r="K281" s="16"/>
      <c r="L281" s="16"/>
      <c r="M281" s="16"/>
      <c r="N281" s="16"/>
      <c r="O281" s="16"/>
      <c r="S281" s="11"/>
      <c r="T281" s="11"/>
      <c r="U281" s="11"/>
      <c r="Y281" s="27"/>
      <c r="Z281" s="11"/>
      <c r="AE281" s="11"/>
      <c r="AH281" s="28"/>
      <c r="AI281" s="28"/>
      <c r="AJ281" s="12"/>
      <c r="AK281" s="29"/>
      <c r="AL281" s="12"/>
    </row>
    <row r="282" spans="9:38" x14ac:dyDescent="0.25">
      <c r="I282" s="15"/>
      <c r="K282" s="16"/>
      <c r="L282" s="16"/>
      <c r="M282" s="16"/>
      <c r="N282" s="16"/>
      <c r="O282" s="16"/>
      <c r="S282" s="11"/>
      <c r="T282" s="11"/>
      <c r="U282" s="11"/>
      <c r="Y282" s="27"/>
      <c r="Z282" s="11"/>
      <c r="AE282" s="11"/>
      <c r="AH282" s="28"/>
      <c r="AI282" s="28"/>
      <c r="AJ282" s="12"/>
      <c r="AK282" s="29"/>
      <c r="AL282" s="12"/>
    </row>
    <row r="283" spans="9:38" x14ac:dyDescent="0.25">
      <c r="I283" s="15"/>
      <c r="K283" s="16"/>
      <c r="L283" s="16"/>
      <c r="M283" s="16"/>
      <c r="N283" s="16"/>
      <c r="O283" s="16"/>
      <c r="S283" s="11"/>
      <c r="T283" s="11"/>
      <c r="U283" s="11"/>
      <c r="Y283" s="27"/>
      <c r="Z283" s="11"/>
      <c r="AE283" s="11"/>
      <c r="AH283" s="28"/>
      <c r="AI283" s="28"/>
      <c r="AJ283" s="12"/>
      <c r="AK283" s="29"/>
      <c r="AL283" s="12"/>
    </row>
    <row r="284" spans="9:38" x14ac:dyDescent="0.25">
      <c r="I284" s="15"/>
      <c r="K284" s="16"/>
      <c r="L284" s="16"/>
      <c r="M284" s="16"/>
      <c r="N284" s="16"/>
      <c r="O284" s="16"/>
      <c r="S284" s="11"/>
      <c r="T284" s="11"/>
      <c r="U284" s="11"/>
      <c r="Y284" s="27"/>
      <c r="Z284" s="11"/>
      <c r="AE284" s="11"/>
      <c r="AH284" s="28"/>
      <c r="AI284" s="28"/>
      <c r="AJ284" s="12"/>
      <c r="AK284" s="29"/>
      <c r="AL284" s="12"/>
    </row>
    <row r="285" spans="9:38" x14ac:dyDescent="0.25">
      <c r="I285" s="15"/>
      <c r="K285" s="16"/>
      <c r="L285" s="16"/>
      <c r="M285" s="16"/>
      <c r="N285" s="16"/>
      <c r="O285" s="16"/>
      <c r="S285" s="11"/>
      <c r="T285" s="11"/>
      <c r="U285" s="11"/>
      <c r="Y285" s="27"/>
      <c r="Z285" s="11"/>
      <c r="AE285" s="11"/>
      <c r="AH285" s="28"/>
      <c r="AI285" s="28"/>
      <c r="AJ285" s="12"/>
      <c r="AK285" s="29"/>
      <c r="AL285" s="12"/>
    </row>
    <row r="286" spans="9:38" x14ac:dyDescent="0.25">
      <c r="I286" s="15"/>
      <c r="K286" s="16"/>
      <c r="L286" s="16"/>
      <c r="M286" s="16"/>
      <c r="N286" s="16"/>
      <c r="O286" s="16"/>
      <c r="S286" s="11"/>
      <c r="T286" s="11"/>
      <c r="U286" s="11"/>
      <c r="Y286" s="27"/>
      <c r="Z286" s="11"/>
      <c r="AE286" s="11"/>
      <c r="AH286" s="28"/>
      <c r="AI286" s="28"/>
      <c r="AJ286" s="12"/>
      <c r="AK286" s="29"/>
      <c r="AL286" s="12"/>
    </row>
    <row r="287" spans="9:38" x14ac:dyDescent="0.25">
      <c r="I287" s="15"/>
      <c r="K287" s="16"/>
      <c r="L287" s="16"/>
      <c r="M287" s="16"/>
      <c r="N287" s="16"/>
      <c r="O287" s="16"/>
      <c r="S287" s="11"/>
      <c r="T287" s="11"/>
      <c r="U287" s="11"/>
      <c r="Y287" s="27"/>
      <c r="Z287" s="11"/>
      <c r="AE287" s="11"/>
      <c r="AH287" s="28"/>
      <c r="AI287" s="28"/>
      <c r="AJ287" s="12"/>
      <c r="AK287" s="29"/>
      <c r="AL287" s="12"/>
    </row>
    <row r="288" spans="9:38" x14ac:dyDescent="0.25">
      <c r="I288" s="15"/>
      <c r="K288" s="16"/>
      <c r="L288" s="16"/>
      <c r="M288" s="16"/>
      <c r="N288" s="16"/>
      <c r="O288" s="16"/>
      <c r="S288" s="11"/>
      <c r="T288" s="11"/>
      <c r="U288" s="11"/>
      <c r="Y288" s="27"/>
      <c r="Z288" s="11"/>
      <c r="AE288" s="11"/>
      <c r="AH288" s="28"/>
      <c r="AI288" s="28"/>
      <c r="AJ288" s="12"/>
      <c r="AK288" s="29"/>
      <c r="AL288" s="12"/>
    </row>
    <row r="289" spans="9:38" x14ac:dyDescent="0.25">
      <c r="I289" s="15"/>
      <c r="K289" s="16"/>
      <c r="L289" s="16"/>
      <c r="M289" s="16"/>
      <c r="N289" s="16"/>
      <c r="O289" s="16"/>
      <c r="S289" s="11"/>
      <c r="T289" s="11"/>
      <c r="U289" s="11"/>
      <c r="Y289" s="27"/>
      <c r="Z289" s="11"/>
      <c r="AE289" s="11"/>
      <c r="AH289" s="28"/>
      <c r="AI289" s="28"/>
      <c r="AJ289" s="12"/>
      <c r="AK289" s="29"/>
      <c r="AL289" s="12"/>
    </row>
    <row r="290" spans="9:38" x14ac:dyDescent="0.25">
      <c r="I290" s="15"/>
      <c r="K290" s="16"/>
      <c r="L290" s="16"/>
      <c r="M290" s="16"/>
      <c r="N290" s="16"/>
      <c r="O290" s="16"/>
      <c r="S290" s="11"/>
      <c r="T290" s="11"/>
      <c r="U290" s="11"/>
      <c r="Y290" s="27"/>
      <c r="Z290" s="11"/>
      <c r="AE290" s="11"/>
      <c r="AH290" s="28"/>
      <c r="AI290" s="28"/>
      <c r="AJ290" s="12"/>
      <c r="AK290" s="29"/>
      <c r="AL290" s="12"/>
    </row>
    <row r="291" spans="9:38" x14ac:dyDescent="0.25">
      <c r="I291" s="15"/>
      <c r="K291" s="16"/>
      <c r="L291" s="16"/>
      <c r="M291" s="16"/>
      <c r="N291" s="16"/>
      <c r="O291" s="16"/>
      <c r="S291" s="11"/>
      <c r="T291" s="11"/>
      <c r="U291" s="11"/>
      <c r="Y291" s="27"/>
      <c r="Z291" s="11"/>
      <c r="AE291" s="11"/>
      <c r="AH291" s="28"/>
      <c r="AI291" s="28"/>
      <c r="AJ291" s="12"/>
      <c r="AK291" s="29"/>
      <c r="AL291" s="12"/>
    </row>
    <row r="292" spans="9:38" x14ac:dyDescent="0.25">
      <c r="I292" s="15"/>
      <c r="K292" s="16"/>
      <c r="L292" s="16"/>
      <c r="M292" s="16"/>
      <c r="N292" s="16"/>
      <c r="O292" s="16"/>
      <c r="S292" s="11"/>
      <c r="T292" s="11"/>
      <c r="U292" s="11"/>
      <c r="Y292" s="27"/>
      <c r="Z292" s="11"/>
      <c r="AE292" s="11"/>
      <c r="AH292" s="28"/>
      <c r="AI292" s="28"/>
      <c r="AJ292" s="12"/>
      <c r="AK292" s="29"/>
      <c r="AL292" s="12"/>
    </row>
    <row r="293" spans="9:38" x14ac:dyDescent="0.25">
      <c r="I293" s="15"/>
      <c r="K293" s="16"/>
      <c r="L293" s="16"/>
      <c r="M293" s="16"/>
      <c r="N293" s="16"/>
      <c r="O293" s="16"/>
      <c r="S293" s="11"/>
      <c r="T293" s="11"/>
      <c r="U293" s="11"/>
      <c r="Y293" s="27"/>
      <c r="Z293" s="11"/>
      <c r="AE293" s="11"/>
      <c r="AH293" s="28"/>
      <c r="AI293" s="28"/>
      <c r="AJ293" s="12"/>
      <c r="AK293" s="29"/>
      <c r="AL293" s="12"/>
    </row>
    <row r="294" spans="9:38" x14ac:dyDescent="0.25">
      <c r="I294" s="15"/>
      <c r="K294" s="16"/>
      <c r="L294" s="16"/>
      <c r="M294" s="16"/>
      <c r="N294" s="16"/>
      <c r="O294" s="16"/>
      <c r="S294" s="11"/>
      <c r="T294" s="11"/>
      <c r="U294" s="11"/>
      <c r="Y294" s="27"/>
      <c r="Z294" s="11"/>
      <c r="AE294" s="11"/>
      <c r="AH294" s="28"/>
      <c r="AI294" s="28"/>
      <c r="AJ294" s="12"/>
      <c r="AK294" s="29"/>
      <c r="AL294" s="12"/>
    </row>
    <row r="295" spans="9:38" x14ac:dyDescent="0.25">
      <c r="I295" s="15"/>
      <c r="K295" s="16"/>
      <c r="L295" s="16"/>
      <c r="M295" s="16"/>
      <c r="N295" s="16"/>
      <c r="O295" s="16"/>
      <c r="S295" s="11"/>
      <c r="T295" s="11"/>
      <c r="U295" s="11"/>
      <c r="Y295" s="27"/>
      <c r="Z295" s="11"/>
      <c r="AE295" s="11"/>
      <c r="AH295" s="28"/>
      <c r="AI295" s="28"/>
      <c r="AJ295" s="12"/>
      <c r="AK295" s="29"/>
      <c r="AL295" s="12"/>
    </row>
    <row r="296" spans="9:38" x14ac:dyDescent="0.25">
      <c r="I296" s="15"/>
      <c r="K296" s="16"/>
      <c r="L296" s="16"/>
      <c r="M296" s="16"/>
      <c r="N296" s="16"/>
      <c r="O296" s="16"/>
      <c r="S296" s="11"/>
      <c r="T296" s="11"/>
      <c r="U296" s="11"/>
      <c r="Y296" s="27"/>
      <c r="Z296" s="11"/>
      <c r="AE296" s="11"/>
      <c r="AH296" s="28"/>
      <c r="AI296" s="28"/>
      <c r="AJ296" s="12"/>
      <c r="AK296" s="29"/>
      <c r="AL296" s="12"/>
    </row>
    <row r="297" spans="9:38" x14ac:dyDescent="0.25">
      <c r="I297" s="15"/>
      <c r="K297" s="16"/>
      <c r="L297" s="16"/>
      <c r="M297" s="16"/>
      <c r="N297" s="16"/>
      <c r="O297" s="16"/>
      <c r="S297" s="11"/>
      <c r="T297" s="11"/>
      <c r="U297" s="11"/>
      <c r="Y297" s="27"/>
      <c r="Z297" s="11"/>
      <c r="AE297" s="11"/>
      <c r="AH297" s="28"/>
      <c r="AI297" s="28"/>
      <c r="AJ297" s="12"/>
      <c r="AK297" s="29"/>
      <c r="AL297" s="12"/>
    </row>
    <row r="298" spans="9:38" x14ac:dyDescent="0.25">
      <c r="I298" s="15"/>
      <c r="K298" s="16"/>
      <c r="L298" s="16"/>
      <c r="M298" s="16"/>
      <c r="N298" s="16"/>
      <c r="O298" s="16"/>
      <c r="S298" s="11"/>
      <c r="T298" s="11"/>
      <c r="U298" s="11"/>
      <c r="Y298" s="27"/>
      <c r="Z298" s="11"/>
      <c r="AE298" s="11"/>
      <c r="AH298" s="28"/>
      <c r="AI298" s="28"/>
      <c r="AJ298" s="12"/>
      <c r="AK298" s="29"/>
      <c r="AL298" s="12"/>
    </row>
    <row r="299" spans="9:38" x14ac:dyDescent="0.25">
      <c r="I299" s="15"/>
      <c r="K299" s="16"/>
      <c r="L299" s="16"/>
      <c r="M299" s="16"/>
      <c r="N299" s="16"/>
      <c r="O299" s="16"/>
      <c r="S299" s="11"/>
      <c r="T299" s="11"/>
      <c r="U299" s="11"/>
      <c r="Y299" s="27"/>
      <c r="Z299" s="11"/>
      <c r="AE299" s="11"/>
      <c r="AH299" s="28"/>
      <c r="AI299" s="28"/>
      <c r="AJ299" s="12"/>
      <c r="AK299" s="29"/>
      <c r="AL299" s="12"/>
    </row>
    <row r="300" spans="9:38" x14ac:dyDescent="0.25">
      <c r="I300" s="15"/>
      <c r="K300" s="16"/>
      <c r="L300" s="16"/>
      <c r="M300" s="16"/>
      <c r="N300" s="16"/>
      <c r="O300" s="16"/>
      <c r="S300" s="11"/>
      <c r="T300" s="11"/>
      <c r="U300" s="11"/>
      <c r="Y300" s="27"/>
      <c r="Z300" s="11"/>
      <c r="AE300" s="11"/>
      <c r="AH300" s="28"/>
      <c r="AI300" s="28"/>
      <c r="AJ300" s="12"/>
      <c r="AK300" s="29"/>
      <c r="AL300" s="12"/>
    </row>
    <row r="301" spans="9:38" x14ac:dyDescent="0.25">
      <c r="I301" s="15"/>
      <c r="K301" s="16"/>
      <c r="L301" s="16"/>
      <c r="M301" s="16"/>
      <c r="N301" s="16"/>
      <c r="O301" s="16"/>
      <c r="S301" s="11"/>
      <c r="T301" s="11"/>
      <c r="U301" s="11"/>
      <c r="Y301" s="27"/>
      <c r="Z301" s="11"/>
      <c r="AE301" s="11"/>
      <c r="AH301" s="28"/>
      <c r="AI301" s="28"/>
      <c r="AJ301" s="12"/>
      <c r="AK301" s="29"/>
      <c r="AL301" s="12"/>
    </row>
    <row r="302" spans="9:38" x14ac:dyDescent="0.25">
      <c r="I302" s="15"/>
      <c r="K302" s="16"/>
      <c r="L302" s="16"/>
      <c r="M302" s="16"/>
      <c r="N302" s="16"/>
      <c r="O302" s="16"/>
      <c r="S302" s="11"/>
      <c r="T302" s="11"/>
      <c r="U302" s="11"/>
      <c r="Y302" s="27"/>
      <c r="Z302" s="11"/>
      <c r="AE302" s="11"/>
      <c r="AH302" s="28"/>
      <c r="AI302" s="28"/>
      <c r="AJ302" s="12"/>
      <c r="AK302" s="29"/>
      <c r="AL302" s="12"/>
    </row>
    <row r="303" spans="9:38" x14ac:dyDescent="0.25">
      <c r="I303" s="15"/>
      <c r="K303" s="16"/>
      <c r="L303" s="16"/>
      <c r="M303" s="16"/>
      <c r="N303" s="16"/>
      <c r="O303" s="16"/>
      <c r="S303" s="11"/>
      <c r="T303" s="11"/>
      <c r="U303" s="11"/>
      <c r="Y303" s="27"/>
      <c r="Z303" s="11"/>
      <c r="AE303" s="11"/>
      <c r="AH303" s="28"/>
      <c r="AI303" s="28"/>
      <c r="AJ303" s="12"/>
      <c r="AK303" s="29"/>
      <c r="AL303" s="12"/>
    </row>
    <row r="304" spans="9:38" x14ac:dyDescent="0.25">
      <c r="I304" s="15"/>
      <c r="K304" s="16"/>
      <c r="L304" s="16"/>
      <c r="M304" s="16"/>
      <c r="N304" s="16"/>
      <c r="O304" s="16"/>
      <c r="S304" s="11"/>
      <c r="T304" s="11"/>
      <c r="U304" s="11"/>
      <c r="Y304" s="27"/>
      <c r="Z304" s="11"/>
      <c r="AE304" s="11"/>
      <c r="AH304" s="28"/>
      <c r="AI304" s="28"/>
      <c r="AJ304" s="12"/>
      <c r="AK304" s="29"/>
      <c r="AL304" s="12"/>
    </row>
    <row r="305" spans="9:38" x14ac:dyDescent="0.25">
      <c r="I305" s="15"/>
      <c r="K305" s="16"/>
      <c r="L305" s="16"/>
      <c r="M305" s="16"/>
      <c r="N305" s="16"/>
      <c r="O305" s="16"/>
      <c r="S305" s="11"/>
      <c r="T305" s="11"/>
      <c r="U305" s="11"/>
      <c r="Y305" s="27"/>
      <c r="Z305" s="11"/>
      <c r="AE305" s="11"/>
      <c r="AH305" s="28"/>
      <c r="AI305" s="28"/>
      <c r="AJ305" s="12"/>
      <c r="AK305" s="29"/>
      <c r="AL305" s="12"/>
    </row>
    <row r="306" spans="9:38" x14ac:dyDescent="0.25">
      <c r="I306" s="15"/>
      <c r="K306" s="16"/>
      <c r="L306" s="16"/>
      <c r="M306" s="16"/>
      <c r="N306" s="16"/>
      <c r="O306" s="16"/>
      <c r="S306" s="11"/>
      <c r="T306" s="11"/>
      <c r="U306" s="11"/>
      <c r="Y306" s="27"/>
      <c r="Z306" s="11"/>
      <c r="AE306" s="11"/>
      <c r="AH306" s="28"/>
      <c r="AI306" s="28"/>
      <c r="AJ306" s="12"/>
      <c r="AK306" s="29"/>
      <c r="AL306" s="12"/>
    </row>
    <row r="307" spans="9:38" x14ac:dyDescent="0.25">
      <c r="I307" s="15"/>
      <c r="K307" s="16"/>
      <c r="L307" s="16"/>
      <c r="M307" s="16"/>
      <c r="N307" s="16"/>
      <c r="O307" s="16"/>
      <c r="S307" s="11"/>
      <c r="T307" s="11"/>
      <c r="U307" s="11"/>
      <c r="Y307" s="27"/>
      <c r="Z307" s="11"/>
      <c r="AE307" s="11"/>
      <c r="AH307" s="28"/>
      <c r="AI307" s="28"/>
      <c r="AJ307" s="12"/>
      <c r="AK307" s="29"/>
      <c r="AL307" s="12"/>
    </row>
    <row r="308" spans="9:38" x14ac:dyDescent="0.25">
      <c r="I308" s="15"/>
      <c r="K308" s="16"/>
      <c r="L308" s="16"/>
      <c r="M308" s="16"/>
      <c r="N308" s="16"/>
      <c r="O308" s="16"/>
      <c r="S308" s="11"/>
      <c r="T308" s="11"/>
      <c r="U308" s="11"/>
      <c r="Y308" s="27"/>
      <c r="Z308" s="11"/>
      <c r="AE308" s="11"/>
      <c r="AH308" s="28"/>
      <c r="AI308" s="28"/>
      <c r="AJ308" s="12"/>
      <c r="AK308" s="29"/>
      <c r="AL308" s="12"/>
    </row>
    <row r="309" spans="9:38" x14ac:dyDescent="0.25">
      <c r="I309" s="15"/>
      <c r="K309" s="16"/>
      <c r="L309" s="16"/>
      <c r="M309" s="16"/>
      <c r="N309" s="16"/>
      <c r="O309" s="16"/>
      <c r="S309" s="11"/>
      <c r="T309" s="11"/>
      <c r="U309" s="11"/>
      <c r="Y309" s="27"/>
      <c r="Z309" s="11"/>
      <c r="AE309" s="11"/>
      <c r="AH309" s="28"/>
      <c r="AI309" s="28"/>
      <c r="AJ309" s="12"/>
      <c r="AK309" s="29"/>
      <c r="AL309" s="12"/>
    </row>
    <row r="310" spans="9:38" x14ac:dyDescent="0.25">
      <c r="I310" s="15"/>
      <c r="K310" s="16"/>
      <c r="L310" s="16"/>
      <c r="M310" s="16"/>
      <c r="N310" s="16"/>
      <c r="O310" s="16"/>
      <c r="S310" s="11"/>
      <c r="T310" s="11"/>
      <c r="U310" s="11"/>
      <c r="Y310" s="27"/>
      <c r="Z310" s="11"/>
      <c r="AE310" s="11"/>
      <c r="AH310" s="28"/>
      <c r="AI310" s="28"/>
      <c r="AJ310" s="12"/>
      <c r="AK310" s="29"/>
      <c r="AL310" s="12"/>
    </row>
    <row r="311" spans="9:38" x14ac:dyDescent="0.25">
      <c r="I311" s="15"/>
      <c r="K311" s="16"/>
      <c r="L311" s="16"/>
      <c r="M311" s="16"/>
      <c r="N311" s="16"/>
      <c r="O311" s="16"/>
      <c r="S311" s="11"/>
      <c r="T311" s="11"/>
      <c r="U311" s="11"/>
      <c r="Y311" s="27"/>
      <c r="Z311" s="11"/>
      <c r="AE311" s="11"/>
      <c r="AH311" s="28"/>
      <c r="AI311" s="28"/>
      <c r="AJ311" s="12"/>
      <c r="AK311" s="29"/>
      <c r="AL311" s="12"/>
    </row>
    <row r="312" spans="9:38" x14ac:dyDescent="0.25">
      <c r="I312" s="15"/>
      <c r="K312" s="16"/>
      <c r="L312" s="16"/>
      <c r="M312" s="16"/>
      <c r="N312" s="16"/>
      <c r="O312" s="16"/>
      <c r="S312" s="11"/>
      <c r="T312" s="11"/>
      <c r="U312" s="11"/>
      <c r="Y312" s="27"/>
      <c r="Z312" s="11"/>
      <c r="AE312" s="11"/>
      <c r="AH312" s="28"/>
      <c r="AI312" s="28"/>
      <c r="AJ312" s="12"/>
      <c r="AK312" s="29"/>
      <c r="AL312" s="12"/>
    </row>
    <row r="313" spans="9:38" x14ac:dyDescent="0.25">
      <c r="I313" s="15"/>
      <c r="K313" s="16"/>
      <c r="L313" s="16"/>
      <c r="M313" s="16"/>
      <c r="N313" s="16"/>
      <c r="O313" s="16"/>
      <c r="S313" s="11"/>
      <c r="T313" s="11"/>
      <c r="U313" s="11"/>
      <c r="Y313" s="27"/>
      <c r="Z313" s="11"/>
      <c r="AE313" s="11"/>
      <c r="AH313" s="28"/>
      <c r="AI313" s="28"/>
      <c r="AJ313" s="12"/>
      <c r="AK313" s="29"/>
      <c r="AL313" s="12"/>
    </row>
    <row r="314" spans="9:38" x14ac:dyDescent="0.25">
      <c r="I314" s="15"/>
      <c r="K314" s="16"/>
      <c r="L314" s="16"/>
      <c r="M314" s="16"/>
      <c r="N314" s="16"/>
      <c r="O314" s="16"/>
      <c r="S314" s="11"/>
      <c r="T314" s="11"/>
      <c r="U314" s="11"/>
      <c r="Y314" s="27"/>
      <c r="Z314" s="11"/>
      <c r="AE314" s="11"/>
      <c r="AH314" s="28"/>
      <c r="AI314" s="28"/>
      <c r="AJ314" s="12"/>
      <c r="AK314" s="29"/>
      <c r="AL314" s="12"/>
    </row>
    <row r="315" spans="9:38" x14ac:dyDescent="0.25">
      <c r="I315" s="15"/>
      <c r="K315" s="16"/>
      <c r="L315" s="16"/>
      <c r="M315" s="16"/>
      <c r="N315" s="16"/>
      <c r="O315" s="16"/>
      <c r="S315" s="11"/>
      <c r="T315" s="11"/>
      <c r="U315" s="11"/>
      <c r="Y315" s="27"/>
      <c r="Z315" s="11"/>
      <c r="AE315" s="11"/>
      <c r="AH315" s="28"/>
      <c r="AI315" s="28"/>
      <c r="AJ315" s="12"/>
      <c r="AK315" s="29"/>
      <c r="AL315" s="12"/>
    </row>
    <row r="316" spans="9:38" x14ac:dyDescent="0.25">
      <c r="I316" s="15"/>
      <c r="K316" s="16"/>
      <c r="L316" s="16"/>
      <c r="M316" s="16"/>
      <c r="N316" s="16"/>
      <c r="O316" s="16"/>
      <c r="S316" s="11"/>
      <c r="T316" s="11"/>
      <c r="U316" s="11"/>
      <c r="Y316" s="27"/>
      <c r="Z316" s="11"/>
      <c r="AE316" s="11"/>
      <c r="AH316" s="28"/>
      <c r="AI316" s="28"/>
      <c r="AJ316" s="12"/>
      <c r="AK316" s="29"/>
      <c r="AL316" s="12"/>
    </row>
    <row r="317" spans="9:38" x14ac:dyDescent="0.25">
      <c r="I317" s="15"/>
      <c r="K317" s="16"/>
      <c r="L317" s="16"/>
      <c r="M317" s="16"/>
      <c r="N317" s="16"/>
      <c r="O317" s="16"/>
      <c r="S317" s="11"/>
      <c r="T317" s="11"/>
      <c r="U317" s="11"/>
      <c r="Y317" s="27"/>
      <c r="Z317" s="11"/>
      <c r="AE317" s="11"/>
      <c r="AH317" s="28"/>
      <c r="AI317" s="28"/>
      <c r="AJ317" s="12"/>
      <c r="AK317" s="29"/>
      <c r="AL317" s="12"/>
    </row>
    <row r="318" spans="9:38" x14ac:dyDescent="0.25">
      <c r="I318" s="15"/>
      <c r="K318" s="16"/>
      <c r="L318" s="16"/>
      <c r="M318" s="16"/>
      <c r="N318" s="16"/>
      <c r="O318" s="16"/>
      <c r="S318" s="11"/>
      <c r="T318" s="11"/>
      <c r="U318" s="11"/>
      <c r="Y318" s="27"/>
      <c r="Z318" s="11"/>
      <c r="AE318" s="11"/>
      <c r="AH318" s="28"/>
      <c r="AI318" s="28"/>
      <c r="AJ318" s="12"/>
      <c r="AK318" s="29"/>
      <c r="AL318" s="12"/>
    </row>
    <row r="319" spans="9:38" x14ac:dyDescent="0.25">
      <c r="I319" s="15"/>
      <c r="K319" s="16"/>
      <c r="L319" s="16"/>
      <c r="M319" s="16"/>
      <c r="N319" s="16"/>
      <c r="O319" s="16"/>
      <c r="S319" s="11"/>
      <c r="T319" s="11"/>
      <c r="U319" s="11"/>
      <c r="Y319" s="27"/>
      <c r="Z319" s="11"/>
      <c r="AE319" s="11"/>
      <c r="AH319" s="28"/>
      <c r="AI319" s="28"/>
      <c r="AJ319" s="12"/>
      <c r="AK319" s="29"/>
      <c r="AL319" s="12"/>
    </row>
    <row r="320" spans="9:38" x14ac:dyDescent="0.25">
      <c r="I320" s="15"/>
      <c r="K320" s="16"/>
      <c r="L320" s="16"/>
      <c r="M320" s="16"/>
      <c r="N320" s="16"/>
      <c r="O320" s="16"/>
      <c r="S320" s="11"/>
      <c r="T320" s="11"/>
      <c r="U320" s="11"/>
      <c r="Y320" s="27"/>
      <c r="Z320" s="11"/>
      <c r="AE320" s="11"/>
      <c r="AH320" s="28"/>
      <c r="AI320" s="28"/>
      <c r="AJ320" s="12"/>
      <c r="AK320" s="29"/>
      <c r="AL320" s="12"/>
    </row>
    <row r="321" spans="9:38" x14ac:dyDescent="0.25">
      <c r="I321" s="15"/>
      <c r="K321" s="16"/>
      <c r="L321" s="16"/>
      <c r="M321" s="16"/>
      <c r="N321" s="16"/>
      <c r="O321" s="16"/>
      <c r="S321" s="11"/>
      <c r="T321" s="11"/>
      <c r="U321" s="11"/>
      <c r="Y321" s="27"/>
      <c r="Z321" s="11"/>
      <c r="AE321" s="11"/>
      <c r="AH321" s="28"/>
      <c r="AI321" s="28"/>
      <c r="AJ321" s="12"/>
      <c r="AK321" s="29"/>
      <c r="AL321" s="12"/>
    </row>
    <row r="322" spans="9:38" x14ac:dyDescent="0.25">
      <c r="I322" s="15"/>
      <c r="K322" s="16"/>
      <c r="L322" s="16"/>
      <c r="M322" s="16"/>
      <c r="N322" s="16"/>
      <c r="O322" s="16"/>
      <c r="S322" s="11"/>
      <c r="T322" s="11"/>
      <c r="U322" s="11"/>
      <c r="Y322" s="27"/>
      <c r="Z322" s="11"/>
      <c r="AE322" s="11"/>
      <c r="AH322" s="28"/>
      <c r="AI322" s="28"/>
      <c r="AJ322" s="12"/>
      <c r="AK322" s="29"/>
      <c r="AL322" s="12"/>
    </row>
    <row r="323" spans="9:38" x14ac:dyDescent="0.25">
      <c r="I323" s="15"/>
      <c r="K323" s="16"/>
      <c r="L323" s="16"/>
      <c r="M323" s="16"/>
      <c r="N323" s="16"/>
      <c r="O323" s="16"/>
      <c r="S323" s="11"/>
      <c r="T323" s="11"/>
      <c r="U323" s="11"/>
      <c r="Y323" s="27"/>
      <c r="Z323" s="11"/>
      <c r="AE323" s="11"/>
      <c r="AH323" s="28"/>
      <c r="AI323" s="28"/>
      <c r="AJ323" s="12"/>
      <c r="AK323" s="29"/>
      <c r="AL323" s="12"/>
    </row>
    <row r="324" spans="9:38" x14ac:dyDescent="0.25">
      <c r="I324" s="15"/>
      <c r="K324" s="16"/>
      <c r="L324" s="16"/>
      <c r="M324" s="16"/>
      <c r="N324" s="16"/>
      <c r="O324" s="16"/>
      <c r="S324" s="11"/>
      <c r="T324" s="11"/>
      <c r="U324" s="11"/>
      <c r="Y324" s="27"/>
      <c r="Z324" s="11"/>
      <c r="AE324" s="11"/>
      <c r="AH324" s="28"/>
      <c r="AI324" s="28"/>
      <c r="AJ324" s="12"/>
      <c r="AK324" s="29"/>
      <c r="AL324" s="12"/>
    </row>
    <row r="325" spans="9:38" x14ac:dyDescent="0.25">
      <c r="I325" s="15"/>
      <c r="K325" s="16"/>
      <c r="L325" s="16"/>
      <c r="M325" s="16"/>
      <c r="N325" s="16"/>
      <c r="O325" s="16"/>
      <c r="S325" s="11"/>
      <c r="T325" s="11"/>
      <c r="U325" s="11"/>
      <c r="Y325" s="27"/>
      <c r="Z325" s="11"/>
      <c r="AE325" s="11"/>
      <c r="AH325" s="28"/>
      <c r="AI325" s="28"/>
      <c r="AJ325" s="12"/>
      <c r="AK325" s="29"/>
      <c r="AL325" s="12"/>
    </row>
    <row r="326" spans="9:38" x14ac:dyDescent="0.25">
      <c r="I326" s="15"/>
      <c r="K326" s="16"/>
      <c r="L326" s="16"/>
      <c r="M326" s="16"/>
      <c r="N326" s="16"/>
      <c r="O326" s="16"/>
      <c r="S326" s="11"/>
      <c r="T326" s="11"/>
      <c r="U326" s="11"/>
      <c r="Y326" s="27"/>
      <c r="Z326" s="11"/>
      <c r="AE326" s="11"/>
      <c r="AH326" s="28"/>
      <c r="AI326" s="28"/>
      <c r="AJ326" s="12"/>
      <c r="AK326" s="29"/>
      <c r="AL326" s="12"/>
    </row>
    <row r="327" spans="9:38" x14ac:dyDescent="0.25">
      <c r="I327" s="15"/>
      <c r="K327" s="16"/>
      <c r="L327" s="16"/>
      <c r="M327" s="16"/>
      <c r="N327" s="16"/>
      <c r="O327" s="16"/>
      <c r="S327" s="11"/>
      <c r="T327" s="11"/>
      <c r="U327" s="11"/>
      <c r="Y327" s="27"/>
      <c r="Z327" s="11"/>
      <c r="AE327" s="11"/>
      <c r="AH327" s="28"/>
      <c r="AI327" s="28"/>
      <c r="AJ327" s="12"/>
      <c r="AK327" s="29"/>
      <c r="AL327" s="12"/>
    </row>
    <row r="328" spans="9:38" x14ac:dyDescent="0.25">
      <c r="I328" s="15"/>
      <c r="K328" s="16"/>
      <c r="L328" s="16"/>
      <c r="M328" s="16"/>
      <c r="N328" s="16"/>
      <c r="O328" s="16"/>
      <c r="S328" s="11"/>
      <c r="T328" s="11"/>
      <c r="U328" s="11"/>
      <c r="Y328" s="27"/>
      <c r="Z328" s="11"/>
      <c r="AE328" s="11"/>
      <c r="AH328" s="28"/>
      <c r="AI328" s="28"/>
      <c r="AJ328" s="12"/>
      <c r="AK328" s="29"/>
      <c r="AL328" s="12"/>
    </row>
    <row r="329" spans="9:38" x14ac:dyDescent="0.25">
      <c r="I329" s="15"/>
      <c r="K329" s="16"/>
      <c r="L329" s="16"/>
      <c r="M329" s="16"/>
      <c r="N329" s="16"/>
      <c r="O329" s="16"/>
      <c r="S329" s="11"/>
      <c r="T329" s="11"/>
      <c r="U329" s="11"/>
      <c r="Y329" s="27"/>
      <c r="Z329" s="11"/>
      <c r="AE329" s="11"/>
      <c r="AH329" s="28"/>
      <c r="AI329" s="28"/>
      <c r="AJ329" s="12"/>
      <c r="AK329" s="29"/>
      <c r="AL329" s="12"/>
    </row>
    <row r="330" spans="9:38" x14ac:dyDescent="0.25">
      <c r="I330" s="15"/>
      <c r="K330" s="16"/>
      <c r="L330" s="16"/>
      <c r="M330" s="16"/>
      <c r="N330" s="16"/>
      <c r="O330" s="16"/>
      <c r="S330" s="11"/>
      <c r="T330" s="11"/>
      <c r="U330" s="11"/>
      <c r="Y330" s="27"/>
      <c r="Z330" s="11"/>
      <c r="AE330" s="11"/>
      <c r="AH330" s="28"/>
      <c r="AI330" s="28"/>
      <c r="AJ330" s="12"/>
      <c r="AK330" s="29"/>
      <c r="AL330" s="12"/>
    </row>
    <row r="331" spans="9:38" x14ac:dyDescent="0.25">
      <c r="I331" s="15"/>
      <c r="K331" s="16"/>
      <c r="L331" s="16"/>
      <c r="M331" s="16"/>
      <c r="N331" s="16"/>
      <c r="O331" s="16"/>
      <c r="S331" s="11"/>
      <c r="T331" s="11"/>
      <c r="U331" s="11"/>
      <c r="Y331" s="27"/>
      <c r="Z331" s="11"/>
      <c r="AE331" s="11"/>
      <c r="AH331" s="28"/>
      <c r="AI331" s="28"/>
      <c r="AJ331" s="12"/>
      <c r="AK331" s="29"/>
      <c r="AL331" s="12"/>
    </row>
    <row r="332" spans="9:38" x14ac:dyDescent="0.25">
      <c r="I332" s="15"/>
      <c r="K332" s="16"/>
      <c r="L332" s="16"/>
      <c r="M332" s="16"/>
      <c r="N332" s="16"/>
      <c r="O332" s="16"/>
      <c r="S332" s="11"/>
      <c r="T332" s="11"/>
      <c r="U332" s="11"/>
      <c r="Y332" s="27"/>
      <c r="Z332" s="11"/>
      <c r="AE332" s="11"/>
      <c r="AH332" s="28"/>
      <c r="AI332" s="28"/>
      <c r="AJ332" s="12"/>
      <c r="AK332" s="29"/>
      <c r="AL332" s="12"/>
    </row>
    <row r="333" spans="9:38" x14ac:dyDescent="0.25">
      <c r="I333" s="15"/>
      <c r="K333" s="16"/>
      <c r="L333" s="16"/>
      <c r="M333" s="16"/>
      <c r="N333" s="16"/>
      <c r="O333" s="16"/>
      <c r="S333" s="11"/>
      <c r="T333" s="11"/>
      <c r="U333" s="11"/>
      <c r="Y333" s="27"/>
      <c r="Z333" s="11"/>
      <c r="AE333" s="11"/>
      <c r="AH333" s="28"/>
      <c r="AI333" s="28"/>
      <c r="AJ333" s="12"/>
      <c r="AK333" s="29"/>
      <c r="AL333" s="12"/>
    </row>
    <row r="334" spans="9:38" x14ac:dyDescent="0.25">
      <c r="I334" s="15"/>
      <c r="K334" s="16"/>
      <c r="L334" s="16"/>
      <c r="M334" s="16"/>
      <c r="N334" s="16"/>
      <c r="O334" s="16"/>
      <c r="S334" s="11"/>
      <c r="T334" s="11"/>
      <c r="U334" s="11"/>
      <c r="Y334" s="27"/>
      <c r="Z334" s="11"/>
      <c r="AE334" s="11"/>
      <c r="AH334" s="28"/>
      <c r="AI334" s="28"/>
      <c r="AJ334" s="12"/>
      <c r="AK334" s="29"/>
      <c r="AL334" s="12"/>
    </row>
    <row r="335" spans="9:38" x14ac:dyDescent="0.25">
      <c r="I335" s="15"/>
      <c r="K335" s="16"/>
      <c r="L335" s="16"/>
      <c r="M335" s="16"/>
      <c r="N335" s="16"/>
      <c r="O335" s="16"/>
      <c r="S335" s="11"/>
      <c r="T335" s="11"/>
      <c r="U335" s="11"/>
      <c r="Y335" s="27"/>
      <c r="Z335" s="11"/>
      <c r="AE335" s="11"/>
      <c r="AH335" s="28"/>
      <c r="AI335" s="28"/>
      <c r="AJ335" s="12"/>
      <c r="AK335" s="29"/>
      <c r="AL335" s="12"/>
    </row>
    <row r="336" spans="9:38" x14ac:dyDescent="0.25">
      <c r="I336" s="15"/>
      <c r="K336" s="16"/>
      <c r="L336" s="16"/>
      <c r="M336" s="16"/>
      <c r="N336" s="16"/>
      <c r="O336" s="16"/>
      <c r="S336" s="11"/>
      <c r="T336" s="11"/>
      <c r="U336" s="11"/>
      <c r="Y336" s="27"/>
      <c r="Z336" s="11"/>
      <c r="AE336" s="11"/>
      <c r="AH336" s="28"/>
      <c r="AI336" s="28"/>
      <c r="AJ336" s="12"/>
      <c r="AK336" s="29"/>
      <c r="AL336" s="12"/>
    </row>
    <row r="337" spans="9:38" x14ac:dyDescent="0.25">
      <c r="I337" s="15"/>
      <c r="K337" s="16"/>
      <c r="L337" s="16"/>
      <c r="M337" s="16"/>
      <c r="N337" s="16"/>
      <c r="O337" s="16"/>
      <c r="S337" s="11"/>
      <c r="T337" s="11"/>
      <c r="U337" s="11"/>
      <c r="Y337" s="27"/>
      <c r="Z337" s="11"/>
      <c r="AE337" s="11"/>
      <c r="AH337" s="28"/>
      <c r="AI337" s="28"/>
      <c r="AJ337" s="12"/>
      <c r="AK337" s="29"/>
      <c r="AL337" s="12"/>
    </row>
    <row r="338" spans="9:38" x14ac:dyDescent="0.25">
      <c r="I338" s="15"/>
      <c r="K338" s="16"/>
      <c r="L338" s="16"/>
      <c r="M338" s="16"/>
      <c r="N338" s="16"/>
      <c r="O338" s="16"/>
      <c r="S338" s="11"/>
      <c r="T338" s="11"/>
      <c r="U338" s="11"/>
      <c r="Y338" s="27"/>
      <c r="Z338" s="11"/>
      <c r="AE338" s="11"/>
      <c r="AH338" s="28"/>
      <c r="AI338" s="28"/>
      <c r="AJ338" s="12"/>
      <c r="AK338" s="29"/>
      <c r="AL338" s="12"/>
    </row>
    <row r="339" spans="9:38" x14ac:dyDescent="0.25">
      <c r="I339" s="15"/>
      <c r="K339" s="16"/>
      <c r="L339" s="16"/>
      <c r="M339" s="16"/>
      <c r="N339" s="16"/>
      <c r="O339" s="16"/>
      <c r="S339" s="11"/>
      <c r="T339" s="11"/>
      <c r="U339" s="11"/>
      <c r="Y339" s="27"/>
      <c r="Z339" s="11"/>
      <c r="AE339" s="11"/>
      <c r="AH339" s="28"/>
      <c r="AI339" s="28"/>
      <c r="AJ339" s="12"/>
      <c r="AK339" s="29"/>
      <c r="AL339" s="12"/>
    </row>
    <row r="340" spans="9:38" x14ac:dyDescent="0.25">
      <c r="I340" s="15"/>
      <c r="K340" s="16"/>
      <c r="L340" s="16"/>
      <c r="M340" s="16"/>
      <c r="N340" s="16"/>
      <c r="O340" s="16"/>
      <c r="S340" s="11"/>
      <c r="T340" s="11"/>
      <c r="U340" s="11"/>
      <c r="Y340" s="27"/>
      <c r="Z340" s="11"/>
      <c r="AE340" s="11"/>
      <c r="AH340" s="28"/>
      <c r="AI340" s="28"/>
      <c r="AJ340" s="12"/>
      <c r="AK340" s="29"/>
      <c r="AL340" s="12"/>
    </row>
    <row r="341" spans="9:38" x14ac:dyDescent="0.25">
      <c r="I341" s="15"/>
      <c r="K341" s="16"/>
      <c r="L341" s="16"/>
      <c r="M341" s="16"/>
      <c r="N341" s="16"/>
      <c r="O341" s="16"/>
      <c r="S341" s="11"/>
      <c r="T341" s="11"/>
      <c r="U341" s="11"/>
      <c r="Y341" s="27"/>
      <c r="Z341" s="11"/>
      <c r="AE341" s="11"/>
      <c r="AH341" s="28"/>
      <c r="AI341" s="28"/>
      <c r="AJ341" s="12"/>
      <c r="AK341" s="29"/>
      <c r="AL341" s="12"/>
    </row>
    <row r="342" spans="9:38" x14ac:dyDescent="0.25">
      <c r="I342" s="15"/>
      <c r="K342" s="16"/>
      <c r="L342" s="16"/>
      <c r="M342" s="16"/>
      <c r="N342" s="16"/>
      <c r="O342" s="16"/>
      <c r="S342" s="11"/>
      <c r="T342" s="11"/>
      <c r="U342" s="11"/>
      <c r="Y342" s="27"/>
      <c r="Z342" s="11"/>
      <c r="AE342" s="11"/>
      <c r="AH342" s="28"/>
      <c r="AI342" s="28"/>
      <c r="AJ342" s="12"/>
      <c r="AK342" s="29"/>
      <c r="AL342" s="12"/>
    </row>
    <row r="343" spans="9:38" x14ac:dyDescent="0.25">
      <c r="I343" s="15"/>
      <c r="K343" s="16"/>
      <c r="L343" s="16"/>
      <c r="M343" s="16"/>
      <c r="N343" s="16"/>
      <c r="O343" s="16"/>
      <c r="S343" s="11"/>
      <c r="T343" s="11"/>
      <c r="U343" s="11"/>
      <c r="Y343" s="27"/>
      <c r="Z343" s="11"/>
      <c r="AE343" s="11"/>
      <c r="AH343" s="28"/>
      <c r="AI343" s="28"/>
      <c r="AJ343" s="12"/>
      <c r="AK343" s="29"/>
      <c r="AL343" s="12"/>
    </row>
    <row r="344" spans="9:38" x14ac:dyDescent="0.25">
      <c r="I344" s="15"/>
      <c r="K344" s="16"/>
      <c r="L344" s="16"/>
      <c r="M344" s="16"/>
      <c r="N344" s="16"/>
      <c r="O344" s="16"/>
      <c r="S344" s="11"/>
      <c r="T344" s="11"/>
      <c r="U344" s="11"/>
      <c r="Y344" s="27"/>
      <c r="Z344" s="11"/>
      <c r="AE344" s="11"/>
      <c r="AH344" s="28"/>
      <c r="AI344" s="28"/>
      <c r="AJ344" s="12"/>
      <c r="AK344" s="29"/>
      <c r="AL344" s="12"/>
    </row>
    <row r="345" spans="9:38" x14ac:dyDescent="0.25">
      <c r="I345" s="15"/>
      <c r="K345" s="16"/>
      <c r="L345" s="16"/>
      <c r="M345" s="16"/>
      <c r="N345" s="16"/>
      <c r="O345" s="16"/>
      <c r="S345" s="11"/>
      <c r="T345" s="11"/>
      <c r="U345" s="11"/>
      <c r="Y345" s="27"/>
      <c r="Z345" s="11"/>
      <c r="AE345" s="11"/>
      <c r="AH345" s="28"/>
      <c r="AI345" s="28"/>
      <c r="AJ345" s="12"/>
      <c r="AK345" s="29"/>
      <c r="AL345" s="12"/>
    </row>
    <row r="346" spans="9:38" x14ac:dyDescent="0.25">
      <c r="I346" s="15"/>
      <c r="K346" s="16"/>
      <c r="L346" s="16"/>
      <c r="M346" s="16"/>
      <c r="N346" s="16"/>
      <c r="O346" s="16"/>
      <c r="S346" s="11"/>
      <c r="T346" s="11"/>
      <c r="U346" s="11"/>
      <c r="Y346" s="27"/>
      <c r="Z346" s="11"/>
      <c r="AE346" s="11"/>
      <c r="AH346" s="28"/>
      <c r="AI346" s="28"/>
      <c r="AJ346" s="12"/>
      <c r="AK346" s="29"/>
      <c r="AL346" s="12"/>
    </row>
    <row r="347" spans="9:38" x14ac:dyDescent="0.25">
      <c r="I347" s="15"/>
      <c r="K347" s="16"/>
      <c r="L347" s="16"/>
      <c r="M347" s="16"/>
      <c r="N347" s="16"/>
      <c r="O347" s="16"/>
      <c r="S347" s="11"/>
      <c r="T347" s="11"/>
      <c r="U347" s="11"/>
      <c r="Y347" s="27"/>
      <c r="Z347" s="11"/>
      <c r="AE347" s="11"/>
      <c r="AH347" s="28"/>
      <c r="AI347" s="28"/>
      <c r="AJ347" s="12"/>
      <c r="AK347" s="29"/>
      <c r="AL347" s="12"/>
    </row>
    <row r="348" spans="9:38" x14ac:dyDescent="0.25">
      <c r="I348" s="15"/>
      <c r="K348" s="16"/>
      <c r="L348" s="16"/>
      <c r="M348" s="16"/>
      <c r="N348" s="16"/>
      <c r="O348" s="16"/>
      <c r="S348" s="11"/>
      <c r="T348" s="11"/>
      <c r="U348" s="11"/>
      <c r="Y348" s="27"/>
      <c r="Z348" s="11"/>
      <c r="AE348" s="11"/>
      <c r="AH348" s="28"/>
      <c r="AI348" s="28"/>
      <c r="AJ348" s="12"/>
      <c r="AK348" s="29"/>
      <c r="AL348" s="12"/>
    </row>
    <row r="349" spans="9:38" x14ac:dyDescent="0.25">
      <c r="I349" s="15"/>
      <c r="K349" s="16"/>
      <c r="L349" s="16"/>
      <c r="M349" s="16"/>
      <c r="N349" s="16"/>
      <c r="O349" s="16"/>
      <c r="S349" s="11"/>
      <c r="T349" s="11"/>
      <c r="U349" s="11"/>
      <c r="Y349" s="27"/>
      <c r="Z349" s="11"/>
      <c r="AE349" s="11"/>
      <c r="AH349" s="28"/>
      <c r="AI349" s="28"/>
      <c r="AJ349" s="12"/>
      <c r="AK349" s="29"/>
      <c r="AL349" s="12"/>
    </row>
    <row r="350" spans="9:38" x14ac:dyDescent="0.25">
      <c r="I350" s="15"/>
      <c r="K350" s="16"/>
      <c r="L350" s="16"/>
      <c r="M350" s="16"/>
      <c r="N350" s="16"/>
      <c r="O350" s="16"/>
      <c r="S350" s="11"/>
      <c r="T350" s="11"/>
      <c r="U350" s="11"/>
      <c r="Y350" s="27"/>
      <c r="Z350" s="11"/>
      <c r="AE350" s="11"/>
      <c r="AH350" s="28"/>
      <c r="AI350" s="28"/>
      <c r="AJ350" s="12"/>
      <c r="AK350" s="29"/>
      <c r="AL350" s="12"/>
    </row>
    <row r="351" spans="9:38" x14ac:dyDescent="0.25">
      <c r="I351" s="15"/>
      <c r="K351" s="16"/>
      <c r="L351" s="16"/>
      <c r="M351" s="16"/>
      <c r="N351" s="16"/>
      <c r="O351" s="16"/>
      <c r="S351" s="11"/>
      <c r="T351" s="11"/>
      <c r="U351" s="11"/>
      <c r="Y351" s="27"/>
      <c r="Z351" s="11"/>
      <c r="AE351" s="11"/>
      <c r="AH351" s="28"/>
      <c r="AI351" s="28"/>
      <c r="AJ351" s="12"/>
      <c r="AK351" s="29"/>
      <c r="AL351" s="12"/>
    </row>
    <row r="352" spans="9:38" x14ac:dyDescent="0.25">
      <c r="I352" s="15"/>
      <c r="K352" s="16"/>
      <c r="L352" s="16"/>
      <c r="M352" s="16"/>
      <c r="N352" s="16"/>
      <c r="O352" s="16"/>
      <c r="S352" s="11"/>
      <c r="T352" s="11"/>
      <c r="U352" s="11"/>
      <c r="Y352" s="27"/>
      <c r="Z352" s="11"/>
      <c r="AE352" s="11"/>
      <c r="AH352" s="28"/>
      <c r="AI352" s="28"/>
      <c r="AJ352" s="12"/>
      <c r="AK352" s="29"/>
      <c r="AL352" s="12"/>
    </row>
    <row r="353" spans="9:38" x14ac:dyDescent="0.25">
      <c r="I353" s="15"/>
      <c r="K353" s="16"/>
      <c r="L353" s="16"/>
      <c r="M353" s="16"/>
      <c r="N353" s="16"/>
      <c r="O353" s="16"/>
      <c r="S353" s="11"/>
      <c r="T353" s="11"/>
      <c r="U353" s="11"/>
      <c r="Y353" s="27"/>
      <c r="Z353" s="11"/>
      <c r="AE353" s="11"/>
      <c r="AH353" s="28"/>
      <c r="AI353" s="28"/>
      <c r="AJ353" s="12"/>
      <c r="AK353" s="29"/>
      <c r="AL353" s="12"/>
    </row>
    <row r="354" spans="9:38" x14ac:dyDescent="0.25">
      <c r="I354" s="15"/>
      <c r="K354" s="16"/>
      <c r="L354" s="16"/>
      <c r="M354" s="16"/>
      <c r="N354" s="16"/>
      <c r="O354" s="16"/>
      <c r="S354" s="11"/>
      <c r="T354" s="11"/>
      <c r="U354" s="11"/>
      <c r="Y354" s="27"/>
      <c r="Z354" s="11"/>
      <c r="AE354" s="11"/>
      <c r="AH354" s="28"/>
      <c r="AI354" s="28"/>
      <c r="AJ354" s="12"/>
      <c r="AK354" s="29"/>
      <c r="AL354" s="12"/>
    </row>
    <row r="355" spans="9:38" x14ac:dyDescent="0.25">
      <c r="I355" s="15"/>
      <c r="K355" s="16"/>
      <c r="L355" s="16"/>
      <c r="M355" s="16"/>
      <c r="N355" s="16"/>
      <c r="O355" s="16"/>
      <c r="S355" s="11"/>
      <c r="T355" s="11"/>
      <c r="U355" s="11"/>
      <c r="Y355" s="27"/>
      <c r="Z355" s="11"/>
      <c r="AE355" s="11"/>
      <c r="AH355" s="28"/>
      <c r="AI355" s="28"/>
      <c r="AJ355" s="12"/>
      <c r="AK355" s="29"/>
      <c r="AL355" s="12"/>
    </row>
    <row r="356" spans="9:38" x14ac:dyDescent="0.25">
      <c r="I356" s="15"/>
      <c r="K356" s="16"/>
      <c r="L356" s="16"/>
      <c r="M356" s="16"/>
      <c r="N356" s="16"/>
      <c r="O356" s="16"/>
      <c r="S356" s="11"/>
      <c r="T356" s="11"/>
      <c r="U356" s="11"/>
      <c r="Y356" s="27"/>
      <c r="Z356" s="11"/>
      <c r="AE356" s="11"/>
      <c r="AH356" s="28"/>
      <c r="AI356" s="28"/>
      <c r="AJ356" s="12"/>
      <c r="AK356" s="29"/>
      <c r="AL356" s="12"/>
    </row>
    <row r="357" spans="9:38" x14ac:dyDescent="0.25">
      <c r="I357" s="15"/>
      <c r="K357" s="16"/>
      <c r="L357" s="16"/>
      <c r="M357" s="16"/>
      <c r="N357" s="16"/>
      <c r="O357" s="16"/>
      <c r="S357" s="11"/>
      <c r="T357" s="11"/>
      <c r="U357" s="11"/>
      <c r="Y357" s="27"/>
      <c r="Z357" s="11"/>
      <c r="AE357" s="11"/>
      <c r="AH357" s="28"/>
      <c r="AI357" s="28"/>
      <c r="AJ357" s="12"/>
      <c r="AK357" s="29"/>
      <c r="AL357" s="12"/>
    </row>
    <row r="358" spans="9:38" x14ac:dyDescent="0.25">
      <c r="I358" s="15"/>
      <c r="K358" s="16"/>
      <c r="L358" s="16"/>
      <c r="M358" s="16"/>
      <c r="N358" s="16"/>
      <c r="O358" s="16"/>
      <c r="S358" s="11"/>
      <c r="T358" s="11"/>
      <c r="U358" s="11"/>
      <c r="Y358" s="27"/>
      <c r="Z358" s="11"/>
      <c r="AE358" s="11"/>
      <c r="AH358" s="28"/>
      <c r="AI358" s="28"/>
      <c r="AJ358" s="12"/>
      <c r="AK358" s="29"/>
      <c r="AL358" s="12"/>
    </row>
    <row r="359" spans="9:38" x14ac:dyDescent="0.25">
      <c r="I359" s="15"/>
      <c r="K359" s="16"/>
      <c r="L359" s="16"/>
      <c r="M359" s="16"/>
      <c r="N359" s="16"/>
      <c r="O359" s="16"/>
      <c r="S359" s="11"/>
      <c r="T359" s="11"/>
      <c r="U359" s="11"/>
      <c r="Y359" s="27"/>
      <c r="Z359" s="11"/>
      <c r="AE359" s="11"/>
      <c r="AH359" s="28"/>
      <c r="AI359" s="28"/>
      <c r="AJ359" s="12"/>
      <c r="AK359" s="29"/>
      <c r="AL359" s="12"/>
    </row>
    <row r="360" spans="9:38" x14ac:dyDescent="0.25">
      <c r="I360" s="15"/>
      <c r="K360" s="16"/>
      <c r="L360" s="16"/>
      <c r="M360" s="16"/>
      <c r="N360" s="16"/>
      <c r="O360" s="16"/>
      <c r="S360" s="11"/>
      <c r="T360" s="11"/>
      <c r="U360" s="11"/>
      <c r="Y360" s="27"/>
      <c r="Z360" s="11"/>
      <c r="AE360" s="11"/>
      <c r="AH360" s="28"/>
      <c r="AI360" s="28"/>
      <c r="AJ360" s="12"/>
      <c r="AK360" s="29"/>
      <c r="AL360" s="12"/>
    </row>
    <row r="361" spans="9:38" x14ac:dyDescent="0.25">
      <c r="I361" s="15"/>
      <c r="K361" s="16"/>
      <c r="L361" s="16"/>
      <c r="M361" s="16"/>
      <c r="N361" s="16"/>
      <c r="O361" s="16"/>
      <c r="S361" s="11"/>
      <c r="T361" s="11"/>
      <c r="U361" s="11"/>
      <c r="Y361" s="27"/>
      <c r="Z361" s="11"/>
      <c r="AE361" s="11"/>
      <c r="AH361" s="28"/>
      <c r="AI361" s="28"/>
      <c r="AJ361" s="12"/>
      <c r="AK361" s="29"/>
      <c r="AL361" s="12"/>
    </row>
    <row r="362" spans="9:38" x14ac:dyDescent="0.25">
      <c r="I362" s="15"/>
      <c r="K362" s="16"/>
      <c r="L362" s="16"/>
      <c r="M362" s="16"/>
      <c r="N362" s="16"/>
      <c r="O362" s="16"/>
      <c r="S362" s="11"/>
      <c r="T362" s="11"/>
      <c r="U362" s="11"/>
      <c r="Y362" s="27"/>
      <c r="Z362" s="11"/>
      <c r="AE362" s="11"/>
      <c r="AH362" s="28"/>
      <c r="AI362" s="28"/>
      <c r="AJ362" s="12"/>
      <c r="AK362" s="29"/>
      <c r="AL362" s="12"/>
    </row>
    <row r="363" spans="9:38" x14ac:dyDescent="0.25">
      <c r="I363" s="15"/>
      <c r="K363" s="16"/>
      <c r="L363" s="16"/>
      <c r="M363" s="16"/>
      <c r="N363" s="16"/>
      <c r="O363" s="16"/>
      <c r="S363" s="11"/>
      <c r="T363" s="11"/>
      <c r="U363" s="11"/>
      <c r="Y363" s="27"/>
      <c r="Z363" s="11"/>
      <c r="AE363" s="11"/>
      <c r="AH363" s="28"/>
      <c r="AI363" s="28"/>
      <c r="AJ363" s="12"/>
      <c r="AK363" s="29"/>
      <c r="AL363" s="12"/>
    </row>
    <row r="364" spans="9:38" x14ac:dyDescent="0.25">
      <c r="I364" s="15"/>
      <c r="K364" s="16"/>
      <c r="L364" s="16"/>
      <c r="M364" s="16"/>
      <c r="N364" s="16"/>
      <c r="O364" s="16"/>
      <c r="S364" s="11"/>
      <c r="T364" s="11"/>
      <c r="U364" s="11"/>
      <c r="Y364" s="27"/>
      <c r="Z364" s="11"/>
      <c r="AE364" s="11"/>
      <c r="AH364" s="28"/>
      <c r="AI364" s="28"/>
      <c r="AJ364" s="12"/>
      <c r="AK364" s="29"/>
      <c r="AL364" s="12"/>
    </row>
    <row r="365" spans="9:38" x14ac:dyDescent="0.25">
      <c r="I365" s="15"/>
      <c r="K365" s="16"/>
      <c r="L365" s="16"/>
      <c r="M365" s="16"/>
      <c r="N365" s="16"/>
      <c r="O365" s="16"/>
      <c r="S365" s="11"/>
      <c r="T365" s="11"/>
      <c r="U365" s="11"/>
      <c r="Y365" s="27"/>
      <c r="Z365" s="11"/>
      <c r="AE365" s="11"/>
      <c r="AH365" s="28"/>
      <c r="AI365" s="28"/>
      <c r="AJ365" s="12"/>
      <c r="AK365" s="29"/>
      <c r="AL365" s="12"/>
    </row>
    <row r="366" spans="9:38" x14ac:dyDescent="0.25">
      <c r="I366" s="15"/>
      <c r="K366" s="16"/>
      <c r="L366" s="16"/>
      <c r="M366" s="16"/>
      <c r="N366" s="16"/>
      <c r="O366" s="16"/>
      <c r="S366" s="11"/>
      <c r="T366" s="11"/>
      <c r="U366" s="11"/>
      <c r="Y366" s="27"/>
      <c r="Z366" s="11"/>
      <c r="AE366" s="11"/>
      <c r="AH366" s="28"/>
      <c r="AI366" s="28"/>
      <c r="AJ366" s="12"/>
      <c r="AK366" s="29"/>
      <c r="AL366" s="12"/>
    </row>
    <row r="367" spans="9:38" x14ac:dyDescent="0.25">
      <c r="I367" s="15"/>
      <c r="K367" s="16"/>
      <c r="L367" s="16"/>
      <c r="M367" s="16"/>
      <c r="N367" s="16"/>
      <c r="O367" s="16"/>
      <c r="S367" s="11"/>
      <c r="T367" s="11"/>
      <c r="U367" s="11"/>
      <c r="Y367" s="27"/>
      <c r="Z367" s="11"/>
      <c r="AE367" s="11"/>
      <c r="AH367" s="28"/>
      <c r="AI367" s="28"/>
      <c r="AJ367" s="12"/>
      <c r="AK367" s="29"/>
      <c r="AL367" s="12"/>
    </row>
    <row r="368" spans="9:38" x14ac:dyDescent="0.25">
      <c r="I368" s="15"/>
      <c r="K368" s="16"/>
      <c r="L368" s="16"/>
      <c r="M368" s="16"/>
      <c r="N368" s="16"/>
      <c r="O368" s="16"/>
      <c r="S368" s="11"/>
      <c r="T368" s="11"/>
      <c r="U368" s="11"/>
      <c r="Y368" s="27"/>
      <c r="Z368" s="11"/>
      <c r="AE368" s="11"/>
      <c r="AH368" s="28"/>
      <c r="AI368" s="28"/>
      <c r="AJ368" s="12"/>
      <c r="AK368" s="29"/>
      <c r="AL368" s="12"/>
    </row>
    <row r="369" spans="9:38" x14ac:dyDescent="0.25">
      <c r="I369" s="15"/>
      <c r="K369" s="16"/>
      <c r="L369" s="16"/>
      <c r="M369" s="16"/>
      <c r="N369" s="16"/>
      <c r="O369" s="16"/>
      <c r="S369" s="11"/>
      <c r="T369" s="11"/>
      <c r="U369" s="11"/>
      <c r="Y369" s="27"/>
      <c r="Z369" s="11"/>
      <c r="AE369" s="11"/>
      <c r="AH369" s="28"/>
      <c r="AI369" s="28"/>
      <c r="AJ369" s="12"/>
      <c r="AK369" s="29"/>
      <c r="AL369" s="12"/>
    </row>
    <row r="370" spans="9:38" x14ac:dyDescent="0.25">
      <c r="I370" s="15"/>
      <c r="K370" s="16"/>
      <c r="L370" s="16"/>
      <c r="M370" s="16"/>
      <c r="N370" s="16"/>
      <c r="O370" s="16"/>
      <c r="S370" s="11"/>
      <c r="T370" s="11"/>
      <c r="U370" s="11"/>
      <c r="Y370" s="27"/>
      <c r="Z370" s="11"/>
      <c r="AE370" s="11"/>
      <c r="AH370" s="28"/>
      <c r="AI370" s="28"/>
      <c r="AJ370" s="12"/>
      <c r="AK370" s="29"/>
      <c r="AL370" s="12"/>
    </row>
    <row r="371" spans="9:38" x14ac:dyDescent="0.25">
      <c r="I371" s="15"/>
      <c r="K371" s="16"/>
      <c r="L371" s="16"/>
      <c r="M371" s="16"/>
      <c r="N371" s="16"/>
      <c r="O371" s="16"/>
      <c r="S371" s="11"/>
      <c r="T371" s="11"/>
      <c r="U371" s="11"/>
      <c r="Y371" s="27"/>
      <c r="Z371" s="11"/>
      <c r="AE371" s="11"/>
      <c r="AH371" s="28"/>
      <c r="AI371" s="28"/>
      <c r="AJ371" s="12"/>
      <c r="AK371" s="29"/>
      <c r="AL371" s="12"/>
    </row>
    <row r="372" spans="9:38" x14ac:dyDescent="0.25">
      <c r="I372" s="15"/>
      <c r="K372" s="16"/>
      <c r="L372" s="16"/>
      <c r="M372" s="16"/>
      <c r="N372" s="16"/>
      <c r="O372" s="16"/>
      <c r="S372" s="11"/>
      <c r="T372" s="11"/>
      <c r="U372" s="11"/>
      <c r="Y372" s="27"/>
      <c r="Z372" s="11"/>
      <c r="AE372" s="11"/>
      <c r="AH372" s="28"/>
      <c r="AI372" s="28"/>
      <c r="AJ372" s="12"/>
      <c r="AK372" s="29"/>
      <c r="AL372" s="12"/>
    </row>
    <row r="373" spans="9:38" x14ac:dyDescent="0.25">
      <c r="I373" s="15"/>
      <c r="K373" s="16"/>
      <c r="L373" s="16"/>
      <c r="M373" s="16"/>
      <c r="N373" s="16"/>
      <c r="O373" s="16"/>
      <c r="S373" s="11"/>
      <c r="T373" s="11"/>
      <c r="U373" s="11"/>
      <c r="Y373" s="27"/>
      <c r="Z373" s="11"/>
      <c r="AE373" s="11"/>
      <c r="AH373" s="28"/>
      <c r="AI373" s="28"/>
      <c r="AJ373" s="12"/>
      <c r="AK373" s="29"/>
      <c r="AL373" s="12"/>
    </row>
    <row r="374" spans="9:38" x14ac:dyDescent="0.25">
      <c r="I374" s="15"/>
      <c r="K374" s="16"/>
      <c r="L374" s="16"/>
      <c r="M374" s="16"/>
      <c r="N374" s="16"/>
      <c r="O374" s="16"/>
      <c r="S374" s="11"/>
      <c r="T374" s="11"/>
      <c r="U374" s="11"/>
      <c r="Y374" s="27"/>
      <c r="Z374" s="11"/>
      <c r="AE374" s="11"/>
      <c r="AH374" s="28"/>
      <c r="AI374" s="28"/>
      <c r="AJ374" s="12"/>
      <c r="AK374" s="29"/>
      <c r="AL374" s="12"/>
    </row>
    <row r="375" spans="9:38" x14ac:dyDescent="0.25">
      <c r="I375" s="15"/>
      <c r="K375" s="16"/>
      <c r="L375" s="16"/>
      <c r="M375" s="16"/>
      <c r="N375" s="16"/>
      <c r="O375" s="16"/>
      <c r="S375" s="11"/>
      <c r="T375" s="11"/>
      <c r="U375" s="11"/>
      <c r="Y375" s="27"/>
      <c r="Z375" s="11"/>
      <c r="AE375" s="11"/>
      <c r="AH375" s="28"/>
      <c r="AI375" s="28"/>
      <c r="AJ375" s="12"/>
      <c r="AK375" s="29"/>
      <c r="AL375" s="12"/>
    </row>
    <row r="376" spans="9:38" x14ac:dyDescent="0.25">
      <c r="I376" s="15"/>
      <c r="K376" s="16"/>
      <c r="L376" s="16"/>
      <c r="M376" s="16"/>
      <c r="N376" s="16"/>
      <c r="O376" s="16"/>
      <c r="S376" s="11"/>
      <c r="T376" s="11"/>
      <c r="U376" s="11"/>
      <c r="Y376" s="27"/>
      <c r="Z376" s="11"/>
      <c r="AE376" s="11"/>
      <c r="AH376" s="28"/>
      <c r="AI376" s="28"/>
      <c r="AJ376" s="12"/>
      <c r="AK376" s="29"/>
      <c r="AL376" s="12"/>
    </row>
    <row r="377" spans="9:38" x14ac:dyDescent="0.25">
      <c r="I377" s="15"/>
      <c r="K377" s="16"/>
      <c r="L377" s="16"/>
      <c r="M377" s="16"/>
      <c r="N377" s="16"/>
      <c r="O377" s="16"/>
      <c r="S377" s="11"/>
      <c r="T377" s="11"/>
      <c r="U377" s="11"/>
      <c r="Y377" s="27"/>
      <c r="Z377" s="11"/>
      <c r="AE377" s="11"/>
      <c r="AH377" s="28"/>
      <c r="AI377" s="28"/>
      <c r="AJ377" s="12"/>
      <c r="AK377" s="29"/>
      <c r="AL377" s="12"/>
    </row>
    <row r="378" spans="9:38" x14ac:dyDescent="0.25">
      <c r="I378" s="15"/>
      <c r="K378" s="16"/>
      <c r="L378" s="16"/>
      <c r="M378" s="16"/>
      <c r="N378" s="16"/>
      <c r="O378" s="16"/>
      <c r="S378" s="11"/>
      <c r="T378" s="11"/>
      <c r="U378" s="11"/>
      <c r="Y378" s="27"/>
      <c r="Z378" s="11"/>
      <c r="AE378" s="11"/>
      <c r="AH378" s="28"/>
      <c r="AI378" s="28"/>
      <c r="AJ378" s="12"/>
      <c r="AK378" s="29"/>
      <c r="AL378" s="12"/>
    </row>
    <row r="379" spans="9:38" x14ac:dyDescent="0.25">
      <c r="I379" s="15"/>
      <c r="K379" s="16"/>
      <c r="L379" s="16"/>
      <c r="M379" s="16"/>
      <c r="N379" s="16"/>
      <c r="O379" s="16"/>
      <c r="S379" s="11"/>
      <c r="T379" s="11"/>
      <c r="U379" s="11"/>
      <c r="Y379" s="27"/>
      <c r="Z379" s="11"/>
      <c r="AE379" s="11"/>
      <c r="AH379" s="28"/>
      <c r="AI379" s="28"/>
      <c r="AJ379" s="12"/>
      <c r="AK379" s="29"/>
      <c r="AL379" s="12"/>
    </row>
    <row r="380" spans="9:38" x14ac:dyDescent="0.25">
      <c r="I380" s="15"/>
      <c r="K380" s="16"/>
      <c r="L380" s="16"/>
      <c r="M380" s="16"/>
      <c r="N380" s="16"/>
      <c r="O380" s="16"/>
      <c r="S380" s="11"/>
      <c r="T380" s="11"/>
      <c r="U380" s="11"/>
      <c r="Y380" s="27"/>
      <c r="Z380" s="11"/>
      <c r="AE380" s="11"/>
      <c r="AH380" s="28"/>
      <c r="AI380" s="28"/>
      <c r="AJ380" s="12"/>
      <c r="AK380" s="29"/>
      <c r="AL380" s="12"/>
    </row>
    <row r="381" spans="9:38" x14ac:dyDescent="0.25">
      <c r="I381" s="15"/>
      <c r="K381" s="16"/>
      <c r="L381" s="16"/>
      <c r="M381" s="16"/>
      <c r="N381" s="16"/>
      <c r="O381" s="16"/>
      <c r="S381" s="11"/>
      <c r="T381" s="11"/>
      <c r="U381" s="11"/>
      <c r="Y381" s="27"/>
      <c r="Z381" s="11"/>
      <c r="AE381" s="11"/>
      <c r="AH381" s="28"/>
      <c r="AI381" s="28"/>
      <c r="AJ381" s="12"/>
      <c r="AK381" s="29"/>
      <c r="AL381" s="12"/>
    </row>
    <row r="382" spans="9:38" x14ac:dyDescent="0.25">
      <c r="I382" s="15"/>
      <c r="K382" s="16"/>
      <c r="L382" s="16"/>
      <c r="M382" s="16"/>
      <c r="N382" s="16"/>
      <c r="O382" s="16"/>
      <c r="S382" s="11"/>
      <c r="T382" s="11"/>
      <c r="U382" s="11"/>
      <c r="Y382" s="27"/>
      <c r="Z382" s="11"/>
      <c r="AE382" s="11"/>
      <c r="AH382" s="28"/>
      <c r="AI382" s="28"/>
      <c r="AJ382" s="12"/>
      <c r="AK382" s="29"/>
      <c r="AL382" s="12"/>
    </row>
    <row r="383" spans="9:38" x14ac:dyDescent="0.25">
      <c r="I383" s="15"/>
      <c r="K383" s="16"/>
      <c r="L383" s="16"/>
      <c r="M383" s="16"/>
      <c r="N383" s="16"/>
      <c r="O383" s="16"/>
      <c r="S383" s="11"/>
      <c r="T383" s="11"/>
      <c r="U383" s="11"/>
      <c r="Y383" s="27"/>
      <c r="Z383" s="11"/>
      <c r="AE383" s="11"/>
      <c r="AH383" s="28"/>
      <c r="AI383" s="28"/>
      <c r="AJ383" s="12"/>
      <c r="AK383" s="29"/>
      <c r="AL383" s="12"/>
    </row>
    <row r="384" spans="9:38" x14ac:dyDescent="0.25">
      <c r="I384" s="15"/>
      <c r="K384" s="16"/>
      <c r="L384" s="16"/>
      <c r="M384" s="16"/>
      <c r="N384" s="16"/>
      <c r="O384" s="16"/>
      <c r="S384" s="11"/>
      <c r="T384" s="11"/>
      <c r="U384" s="11"/>
      <c r="Y384" s="27"/>
      <c r="Z384" s="11"/>
      <c r="AE384" s="11"/>
      <c r="AH384" s="28"/>
      <c r="AI384" s="28"/>
      <c r="AJ384" s="12"/>
      <c r="AK384" s="29"/>
      <c r="AL384" s="12"/>
    </row>
    <row r="385" spans="9:38" x14ac:dyDescent="0.25">
      <c r="I385" s="15"/>
      <c r="K385" s="16"/>
      <c r="L385" s="16"/>
      <c r="M385" s="16"/>
      <c r="N385" s="16"/>
      <c r="O385" s="16"/>
      <c r="S385" s="11"/>
      <c r="T385" s="11"/>
      <c r="U385" s="11"/>
      <c r="Y385" s="27"/>
      <c r="Z385" s="11"/>
      <c r="AE385" s="11"/>
      <c r="AH385" s="28"/>
      <c r="AI385" s="28"/>
      <c r="AJ385" s="12"/>
      <c r="AK385" s="29"/>
      <c r="AL385" s="12"/>
    </row>
    <row r="386" spans="9:38" x14ac:dyDescent="0.25">
      <c r="I386" s="15"/>
      <c r="K386" s="16"/>
      <c r="L386" s="16"/>
      <c r="M386" s="16"/>
      <c r="N386" s="16"/>
      <c r="O386" s="16"/>
      <c r="S386" s="11"/>
      <c r="T386" s="11"/>
      <c r="U386" s="11"/>
      <c r="Y386" s="27"/>
      <c r="Z386" s="11"/>
      <c r="AE386" s="11"/>
      <c r="AH386" s="28"/>
      <c r="AI386" s="28"/>
      <c r="AJ386" s="12"/>
      <c r="AK386" s="29"/>
      <c r="AL386" s="12"/>
    </row>
    <row r="387" spans="9:38" x14ac:dyDescent="0.25">
      <c r="I387" s="15"/>
      <c r="K387" s="16"/>
      <c r="L387" s="16"/>
      <c r="M387" s="16"/>
      <c r="N387" s="16"/>
      <c r="O387" s="16"/>
      <c r="S387" s="11"/>
      <c r="T387" s="11"/>
      <c r="U387" s="11"/>
      <c r="Y387" s="27"/>
      <c r="Z387" s="11"/>
      <c r="AE387" s="11"/>
      <c r="AH387" s="28"/>
      <c r="AI387" s="28"/>
      <c r="AJ387" s="12"/>
      <c r="AK387" s="29"/>
      <c r="AL387" s="12"/>
    </row>
    <row r="388" spans="9:38" x14ac:dyDescent="0.25">
      <c r="I388" s="15"/>
      <c r="K388" s="16"/>
      <c r="L388" s="16"/>
      <c r="M388" s="16"/>
      <c r="N388" s="16"/>
      <c r="O388" s="16"/>
      <c r="S388" s="11"/>
      <c r="T388" s="11"/>
      <c r="U388" s="11"/>
      <c r="Y388" s="27"/>
      <c r="Z388" s="11"/>
      <c r="AE388" s="11"/>
      <c r="AH388" s="28"/>
      <c r="AI388" s="28"/>
      <c r="AJ388" s="12"/>
      <c r="AK388" s="29"/>
      <c r="AL388" s="12"/>
    </row>
    <row r="389" spans="9:38" x14ac:dyDescent="0.25">
      <c r="I389" s="15"/>
      <c r="K389" s="16"/>
      <c r="L389" s="16"/>
      <c r="M389" s="16"/>
      <c r="N389" s="16"/>
      <c r="O389" s="16"/>
      <c r="S389" s="11"/>
      <c r="T389" s="11"/>
      <c r="U389" s="11"/>
      <c r="Y389" s="27"/>
      <c r="Z389" s="11"/>
      <c r="AE389" s="11"/>
      <c r="AH389" s="28"/>
      <c r="AI389" s="28"/>
      <c r="AJ389" s="12"/>
      <c r="AK389" s="29"/>
      <c r="AL389" s="12"/>
    </row>
    <row r="390" spans="9:38" x14ac:dyDescent="0.25">
      <c r="I390" s="15"/>
      <c r="K390" s="16"/>
      <c r="L390" s="16"/>
      <c r="M390" s="16"/>
      <c r="N390" s="16"/>
      <c r="O390" s="16"/>
      <c r="S390" s="11"/>
      <c r="T390" s="11"/>
      <c r="U390" s="11"/>
      <c r="Y390" s="27"/>
      <c r="Z390" s="11"/>
      <c r="AE390" s="11"/>
      <c r="AH390" s="28"/>
      <c r="AI390" s="28"/>
      <c r="AJ390" s="12"/>
      <c r="AK390" s="29"/>
      <c r="AL390" s="12"/>
    </row>
    <row r="391" spans="9:38" x14ac:dyDescent="0.25">
      <c r="I391" s="15"/>
      <c r="K391" s="16"/>
      <c r="L391" s="16"/>
      <c r="M391" s="16"/>
      <c r="N391" s="16"/>
      <c r="O391" s="16"/>
      <c r="S391" s="11"/>
      <c r="T391" s="11"/>
      <c r="U391" s="11"/>
      <c r="Y391" s="27"/>
      <c r="Z391" s="11"/>
      <c r="AE391" s="11"/>
      <c r="AH391" s="28"/>
      <c r="AI391" s="28"/>
      <c r="AJ391" s="12"/>
      <c r="AK391" s="29"/>
      <c r="AL391" s="12"/>
    </row>
    <row r="392" spans="9:38" x14ac:dyDescent="0.25">
      <c r="I392" s="15"/>
      <c r="K392" s="16"/>
      <c r="L392" s="16"/>
      <c r="M392" s="16"/>
      <c r="N392" s="16"/>
      <c r="O392" s="16"/>
      <c r="S392" s="11"/>
      <c r="T392" s="11"/>
      <c r="U392" s="11"/>
      <c r="Y392" s="27"/>
      <c r="Z392" s="11"/>
      <c r="AE392" s="11"/>
      <c r="AH392" s="28"/>
      <c r="AI392" s="28"/>
      <c r="AJ392" s="12"/>
      <c r="AK392" s="29"/>
      <c r="AL392" s="12"/>
    </row>
    <row r="393" spans="9:38" x14ac:dyDescent="0.25">
      <c r="I393" s="15"/>
      <c r="K393" s="16"/>
      <c r="L393" s="16"/>
      <c r="M393" s="16"/>
      <c r="N393" s="16"/>
      <c r="O393" s="16"/>
      <c r="S393" s="11"/>
      <c r="T393" s="11"/>
      <c r="U393" s="11"/>
      <c r="Y393" s="27"/>
      <c r="Z393" s="11"/>
      <c r="AE393" s="11"/>
      <c r="AH393" s="28"/>
      <c r="AI393" s="28"/>
      <c r="AJ393" s="12"/>
      <c r="AK393" s="29"/>
      <c r="AL393" s="12"/>
    </row>
    <row r="394" spans="9:38" x14ac:dyDescent="0.25">
      <c r="I394" s="15"/>
      <c r="K394" s="16"/>
      <c r="L394" s="16"/>
      <c r="M394" s="16"/>
      <c r="N394" s="16"/>
      <c r="O394" s="16"/>
      <c r="S394" s="11"/>
      <c r="T394" s="11"/>
      <c r="U394" s="11"/>
      <c r="Y394" s="27"/>
      <c r="Z394" s="11"/>
      <c r="AE394" s="11"/>
      <c r="AH394" s="28"/>
      <c r="AI394" s="28"/>
      <c r="AJ394" s="12"/>
      <c r="AK394" s="29"/>
      <c r="AL394" s="12"/>
    </row>
    <row r="395" spans="9:38" x14ac:dyDescent="0.25">
      <c r="I395" s="15"/>
      <c r="K395" s="16"/>
      <c r="L395" s="16"/>
      <c r="M395" s="16"/>
      <c r="N395" s="16"/>
      <c r="O395" s="16"/>
      <c r="S395" s="11"/>
      <c r="T395" s="11"/>
      <c r="U395" s="11"/>
      <c r="Y395" s="27"/>
      <c r="Z395" s="11"/>
      <c r="AE395" s="11"/>
      <c r="AH395" s="28"/>
      <c r="AI395" s="28"/>
      <c r="AJ395" s="12"/>
      <c r="AK395" s="29"/>
      <c r="AL395" s="12"/>
    </row>
    <row r="396" spans="9:38" x14ac:dyDescent="0.25">
      <c r="I396" s="15"/>
      <c r="K396" s="16"/>
      <c r="L396" s="16"/>
      <c r="M396" s="16"/>
      <c r="N396" s="16"/>
      <c r="O396" s="16"/>
      <c r="S396" s="11"/>
      <c r="T396" s="11"/>
      <c r="U396" s="11"/>
      <c r="Y396" s="27"/>
      <c r="Z396" s="11"/>
      <c r="AE396" s="11"/>
      <c r="AH396" s="28"/>
      <c r="AI396" s="28"/>
      <c r="AJ396" s="12"/>
      <c r="AK396" s="29"/>
      <c r="AL396" s="12"/>
    </row>
    <row r="397" spans="9:38" x14ac:dyDescent="0.25">
      <c r="I397" s="15"/>
      <c r="K397" s="16"/>
      <c r="L397" s="16"/>
      <c r="M397" s="16"/>
      <c r="N397" s="16"/>
      <c r="O397" s="16"/>
      <c r="S397" s="11"/>
      <c r="T397" s="11"/>
      <c r="U397" s="11"/>
      <c r="Y397" s="27"/>
      <c r="Z397" s="11"/>
      <c r="AE397" s="11"/>
      <c r="AH397" s="28"/>
      <c r="AI397" s="28"/>
      <c r="AJ397" s="12"/>
      <c r="AK397" s="29"/>
      <c r="AL397" s="12"/>
    </row>
    <row r="398" spans="9:38" x14ac:dyDescent="0.25">
      <c r="I398" s="15"/>
      <c r="K398" s="16"/>
      <c r="L398" s="16"/>
      <c r="M398" s="16"/>
      <c r="N398" s="16"/>
      <c r="O398" s="16"/>
      <c r="S398" s="11"/>
      <c r="T398" s="11"/>
      <c r="U398" s="11"/>
      <c r="Y398" s="27"/>
      <c r="Z398" s="11"/>
      <c r="AE398" s="11"/>
      <c r="AH398" s="28"/>
      <c r="AI398" s="28"/>
      <c r="AJ398" s="12"/>
      <c r="AK398" s="29"/>
      <c r="AL398" s="12"/>
    </row>
    <row r="399" spans="9:38" x14ac:dyDescent="0.25">
      <c r="I399" s="15"/>
      <c r="K399" s="16"/>
      <c r="L399" s="16"/>
      <c r="M399" s="16"/>
      <c r="N399" s="16"/>
      <c r="O399" s="16"/>
      <c r="S399" s="11"/>
      <c r="T399" s="11"/>
      <c r="U399" s="11"/>
      <c r="Y399" s="27"/>
      <c r="Z399" s="11"/>
      <c r="AE399" s="11"/>
      <c r="AH399" s="28"/>
      <c r="AI399" s="28"/>
      <c r="AJ399" s="12"/>
      <c r="AK399" s="29"/>
      <c r="AL399" s="12"/>
    </row>
    <row r="400" spans="9:38" x14ac:dyDescent="0.25">
      <c r="I400" s="15"/>
      <c r="K400" s="16"/>
      <c r="L400" s="16"/>
      <c r="M400" s="16"/>
      <c r="N400" s="16"/>
      <c r="O400" s="16"/>
      <c r="S400" s="11"/>
      <c r="T400" s="11"/>
      <c r="U400" s="11"/>
      <c r="Y400" s="27"/>
      <c r="Z400" s="11"/>
      <c r="AE400" s="11"/>
      <c r="AH400" s="28"/>
      <c r="AI400" s="28"/>
      <c r="AJ400" s="12"/>
      <c r="AK400" s="29"/>
      <c r="AL400" s="12"/>
    </row>
    <row r="401" spans="9:38" x14ac:dyDescent="0.25">
      <c r="I401" s="15"/>
      <c r="K401" s="16"/>
      <c r="L401" s="16"/>
      <c r="M401" s="16"/>
      <c r="N401" s="16"/>
      <c r="O401" s="16"/>
      <c r="S401" s="11"/>
      <c r="T401" s="11"/>
      <c r="U401" s="11"/>
      <c r="Y401" s="27"/>
      <c r="Z401" s="11"/>
      <c r="AE401" s="11"/>
      <c r="AH401" s="28"/>
      <c r="AI401" s="28"/>
      <c r="AJ401" s="12"/>
      <c r="AK401" s="29"/>
      <c r="AL401" s="12"/>
    </row>
    <row r="402" spans="9:38" x14ac:dyDescent="0.25">
      <c r="I402" s="15"/>
      <c r="K402" s="16"/>
      <c r="L402" s="16"/>
      <c r="M402" s="16"/>
      <c r="N402" s="16"/>
      <c r="O402" s="16"/>
      <c r="S402" s="11"/>
      <c r="T402" s="11"/>
      <c r="U402" s="11"/>
      <c r="Y402" s="27"/>
      <c r="Z402" s="11"/>
      <c r="AE402" s="11"/>
      <c r="AH402" s="28"/>
      <c r="AI402" s="28"/>
      <c r="AJ402" s="12"/>
      <c r="AK402" s="29"/>
      <c r="AL402" s="12"/>
    </row>
    <row r="403" spans="9:38" x14ac:dyDescent="0.25">
      <c r="I403" s="15"/>
      <c r="K403" s="16"/>
      <c r="L403" s="16"/>
      <c r="M403" s="16"/>
      <c r="N403" s="16"/>
      <c r="O403" s="16"/>
      <c r="S403" s="11"/>
      <c r="T403" s="11"/>
      <c r="U403" s="11"/>
      <c r="Y403" s="27"/>
      <c r="Z403" s="11"/>
      <c r="AE403" s="11"/>
      <c r="AH403" s="28"/>
      <c r="AI403" s="28"/>
      <c r="AJ403" s="12"/>
      <c r="AK403" s="29"/>
      <c r="AL403" s="12"/>
    </row>
    <row r="404" spans="9:38" x14ac:dyDescent="0.25">
      <c r="I404" s="15"/>
      <c r="K404" s="16"/>
      <c r="L404" s="16"/>
      <c r="M404" s="16"/>
      <c r="N404" s="16"/>
      <c r="O404" s="16"/>
      <c r="S404" s="11"/>
      <c r="T404" s="11"/>
      <c r="U404" s="11"/>
      <c r="Y404" s="27"/>
      <c r="Z404" s="11"/>
      <c r="AE404" s="11"/>
      <c r="AH404" s="28"/>
      <c r="AI404" s="28"/>
      <c r="AJ404" s="12"/>
      <c r="AK404" s="29"/>
      <c r="AL404" s="12"/>
    </row>
    <row r="405" spans="9:38" x14ac:dyDescent="0.25">
      <c r="I405" s="15"/>
      <c r="K405" s="16"/>
      <c r="L405" s="16"/>
      <c r="M405" s="16"/>
      <c r="N405" s="16"/>
      <c r="O405" s="16"/>
      <c r="S405" s="11"/>
      <c r="T405" s="11"/>
      <c r="U405" s="11"/>
      <c r="Y405" s="27"/>
      <c r="Z405" s="11"/>
      <c r="AE405" s="11"/>
      <c r="AH405" s="28"/>
      <c r="AI405" s="28"/>
      <c r="AJ405" s="12"/>
      <c r="AK405" s="29"/>
      <c r="AL405" s="12"/>
    </row>
    <row r="406" spans="9:38" x14ac:dyDescent="0.25">
      <c r="I406" s="15"/>
      <c r="K406" s="16"/>
      <c r="L406" s="16"/>
      <c r="M406" s="16"/>
      <c r="N406" s="16"/>
      <c r="O406" s="16"/>
      <c r="S406" s="11"/>
      <c r="T406" s="11"/>
      <c r="U406" s="11"/>
      <c r="Y406" s="27"/>
      <c r="Z406" s="11"/>
      <c r="AE406" s="11"/>
      <c r="AH406" s="28"/>
      <c r="AI406" s="28"/>
      <c r="AJ406" s="12"/>
      <c r="AK406" s="29"/>
      <c r="AL406" s="12"/>
    </row>
    <row r="407" spans="9:38" x14ac:dyDescent="0.25">
      <c r="I407" s="15"/>
      <c r="K407" s="16"/>
      <c r="L407" s="16"/>
      <c r="M407" s="16"/>
      <c r="N407" s="16"/>
      <c r="O407" s="16"/>
      <c r="S407" s="11"/>
      <c r="T407" s="11"/>
      <c r="U407" s="11"/>
      <c r="Y407" s="27"/>
      <c r="Z407" s="11"/>
      <c r="AE407" s="11"/>
      <c r="AH407" s="28"/>
      <c r="AI407" s="28"/>
      <c r="AJ407" s="12"/>
      <c r="AK407" s="29"/>
      <c r="AL407" s="12"/>
    </row>
    <row r="408" spans="9:38" x14ac:dyDescent="0.25">
      <c r="I408" s="15"/>
      <c r="K408" s="16"/>
      <c r="L408" s="16"/>
      <c r="M408" s="16"/>
      <c r="N408" s="16"/>
      <c r="O408" s="16"/>
      <c r="S408" s="11"/>
      <c r="T408" s="11"/>
      <c r="U408" s="11"/>
      <c r="Y408" s="27"/>
      <c r="Z408" s="11"/>
      <c r="AE408" s="11"/>
      <c r="AH408" s="28"/>
      <c r="AI408" s="28"/>
      <c r="AJ408" s="12"/>
      <c r="AK408" s="29"/>
      <c r="AL408" s="12"/>
    </row>
    <row r="409" spans="9:38" x14ac:dyDescent="0.25">
      <c r="I409" s="15"/>
      <c r="K409" s="16"/>
      <c r="L409" s="16"/>
      <c r="M409" s="16"/>
      <c r="N409" s="16"/>
      <c r="O409" s="16"/>
      <c r="S409" s="11"/>
      <c r="T409" s="11"/>
      <c r="U409" s="11"/>
      <c r="Y409" s="27"/>
      <c r="Z409" s="11"/>
      <c r="AE409" s="11"/>
      <c r="AH409" s="28"/>
      <c r="AI409" s="28"/>
      <c r="AJ409" s="12"/>
      <c r="AK409" s="29"/>
      <c r="AL409" s="12"/>
    </row>
    <row r="410" spans="9:38" x14ac:dyDescent="0.25">
      <c r="I410" s="15"/>
      <c r="K410" s="16"/>
      <c r="L410" s="16"/>
      <c r="M410" s="16"/>
      <c r="N410" s="16"/>
      <c r="O410" s="16"/>
      <c r="S410" s="11"/>
      <c r="T410" s="11"/>
      <c r="U410" s="11"/>
      <c r="Y410" s="27"/>
      <c r="Z410" s="11"/>
      <c r="AE410" s="11"/>
      <c r="AH410" s="28"/>
      <c r="AI410" s="28"/>
      <c r="AJ410" s="12"/>
      <c r="AK410" s="29"/>
      <c r="AL410" s="12"/>
    </row>
    <row r="411" spans="9:38" x14ac:dyDescent="0.25">
      <c r="I411" s="15"/>
      <c r="K411" s="16"/>
      <c r="L411" s="16"/>
      <c r="M411" s="16"/>
      <c r="N411" s="16"/>
      <c r="O411" s="16"/>
      <c r="S411" s="11"/>
      <c r="T411" s="11"/>
      <c r="U411" s="11"/>
      <c r="Y411" s="27"/>
      <c r="Z411" s="11"/>
      <c r="AE411" s="11"/>
      <c r="AH411" s="28"/>
      <c r="AI411" s="28"/>
      <c r="AJ411" s="12"/>
      <c r="AK411" s="29"/>
      <c r="AL411" s="12"/>
    </row>
    <row r="412" spans="9:38" x14ac:dyDescent="0.25">
      <c r="I412" s="15"/>
      <c r="K412" s="16"/>
      <c r="L412" s="16"/>
      <c r="M412" s="16"/>
      <c r="N412" s="16"/>
      <c r="O412" s="16"/>
      <c r="S412" s="11"/>
      <c r="T412" s="11"/>
      <c r="U412" s="11"/>
      <c r="Y412" s="27"/>
      <c r="Z412" s="11"/>
      <c r="AE412" s="11"/>
      <c r="AH412" s="28"/>
      <c r="AI412" s="28"/>
      <c r="AJ412" s="12"/>
      <c r="AK412" s="29"/>
      <c r="AL412" s="12"/>
    </row>
    <row r="413" spans="9:38" x14ac:dyDescent="0.25">
      <c r="I413" s="15"/>
      <c r="K413" s="16"/>
      <c r="L413" s="16"/>
      <c r="M413" s="16"/>
      <c r="N413" s="16"/>
      <c r="O413" s="16"/>
      <c r="S413" s="11"/>
      <c r="T413" s="11"/>
      <c r="U413" s="11"/>
      <c r="Y413" s="27"/>
      <c r="Z413" s="11"/>
      <c r="AE413" s="11"/>
      <c r="AH413" s="28"/>
      <c r="AI413" s="28"/>
      <c r="AJ413" s="12"/>
      <c r="AK413" s="29"/>
      <c r="AL413" s="12"/>
    </row>
    <row r="414" spans="9:38" x14ac:dyDescent="0.25">
      <c r="I414" s="15"/>
      <c r="K414" s="16"/>
      <c r="L414" s="16"/>
      <c r="M414" s="16"/>
      <c r="N414" s="16"/>
      <c r="O414" s="16"/>
      <c r="S414" s="11"/>
      <c r="T414" s="11"/>
      <c r="U414" s="11"/>
      <c r="Y414" s="27"/>
      <c r="Z414" s="11"/>
      <c r="AE414" s="11"/>
      <c r="AH414" s="28"/>
      <c r="AI414" s="28"/>
      <c r="AJ414" s="12"/>
      <c r="AK414" s="29"/>
      <c r="AL414" s="12"/>
    </row>
    <row r="415" spans="9:38" x14ac:dyDescent="0.25">
      <c r="I415" s="15"/>
      <c r="K415" s="16"/>
      <c r="L415" s="16"/>
      <c r="M415" s="16"/>
      <c r="N415" s="16"/>
      <c r="O415" s="16"/>
      <c r="S415" s="11"/>
      <c r="T415" s="11"/>
      <c r="U415" s="11"/>
      <c r="Y415" s="27"/>
      <c r="Z415" s="11"/>
      <c r="AE415" s="11"/>
      <c r="AH415" s="28"/>
      <c r="AI415" s="28"/>
      <c r="AJ415" s="12"/>
      <c r="AK415" s="29"/>
      <c r="AL415" s="12"/>
    </row>
    <row r="416" spans="9:38" x14ac:dyDescent="0.25">
      <c r="I416" s="15"/>
      <c r="K416" s="16"/>
      <c r="L416" s="16"/>
      <c r="M416" s="16"/>
      <c r="N416" s="16"/>
      <c r="O416" s="16"/>
      <c r="S416" s="11"/>
      <c r="T416" s="11"/>
      <c r="U416" s="11"/>
      <c r="Y416" s="27"/>
      <c r="Z416" s="11"/>
      <c r="AE416" s="11"/>
      <c r="AH416" s="28"/>
      <c r="AI416" s="28"/>
      <c r="AJ416" s="12"/>
      <c r="AK416" s="29"/>
      <c r="AL416" s="12"/>
    </row>
    <row r="417" spans="9:38" x14ac:dyDescent="0.25">
      <c r="I417" s="15"/>
      <c r="K417" s="16"/>
      <c r="L417" s="16"/>
      <c r="M417" s="16"/>
      <c r="N417" s="16"/>
      <c r="O417" s="16"/>
      <c r="S417" s="11"/>
      <c r="T417" s="11"/>
      <c r="U417" s="11"/>
      <c r="Y417" s="27"/>
      <c r="Z417" s="11"/>
      <c r="AE417" s="11"/>
      <c r="AH417" s="28"/>
      <c r="AI417" s="28"/>
      <c r="AJ417" s="12"/>
      <c r="AK417" s="29"/>
      <c r="AL417" s="12"/>
    </row>
    <row r="418" spans="9:38" x14ac:dyDescent="0.25">
      <c r="I418" s="15"/>
      <c r="K418" s="16"/>
      <c r="L418" s="16"/>
      <c r="M418" s="16"/>
      <c r="N418" s="16"/>
      <c r="O418" s="16"/>
      <c r="S418" s="11"/>
      <c r="T418" s="11"/>
      <c r="U418" s="11"/>
      <c r="Y418" s="27"/>
      <c r="Z418" s="11"/>
      <c r="AE418" s="11"/>
      <c r="AH418" s="28"/>
      <c r="AI418" s="28"/>
      <c r="AJ418" s="12"/>
      <c r="AK418" s="29"/>
      <c r="AL418" s="12"/>
    </row>
    <row r="419" spans="9:38" x14ac:dyDescent="0.25">
      <c r="I419" s="15"/>
      <c r="K419" s="16"/>
      <c r="L419" s="16"/>
      <c r="M419" s="16"/>
      <c r="N419" s="16"/>
      <c r="O419" s="16"/>
      <c r="S419" s="11"/>
      <c r="T419" s="11"/>
      <c r="U419" s="11"/>
      <c r="Y419" s="27"/>
      <c r="Z419" s="11"/>
      <c r="AE419" s="11"/>
      <c r="AH419" s="28"/>
      <c r="AI419" s="28"/>
      <c r="AJ419" s="12"/>
      <c r="AK419" s="29"/>
      <c r="AL419" s="12"/>
    </row>
    <row r="420" spans="9:38" x14ac:dyDescent="0.25">
      <c r="I420" s="15"/>
      <c r="K420" s="16"/>
      <c r="L420" s="16"/>
      <c r="M420" s="16"/>
      <c r="N420" s="16"/>
      <c r="O420" s="16"/>
      <c r="S420" s="11"/>
      <c r="T420" s="11"/>
      <c r="U420" s="11"/>
      <c r="Y420" s="27"/>
      <c r="Z420" s="11"/>
      <c r="AE420" s="11"/>
      <c r="AH420" s="28"/>
      <c r="AI420" s="28"/>
      <c r="AJ420" s="12"/>
      <c r="AK420" s="29"/>
      <c r="AL420" s="12"/>
    </row>
    <row r="421" spans="9:38" x14ac:dyDescent="0.25">
      <c r="I421" s="15"/>
      <c r="K421" s="16"/>
      <c r="L421" s="16"/>
      <c r="M421" s="16"/>
      <c r="N421" s="16"/>
      <c r="O421" s="16"/>
      <c r="S421" s="11"/>
      <c r="T421" s="11"/>
      <c r="U421" s="11"/>
      <c r="Y421" s="27"/>
      <c r="Z421" s="11"/>
      <c r="AE421" s="11"/>
      <c r="AH421" s="28"/>
      <c r="AI421" s="28"/>
      <c r="AJ421" s="12"/>
      <c r="AK421" s="29"/>
      <c r="AL421" s="12"/>
    </row>
    <row r="422" spans="9:38" x14ac:dyDescent="0.25">
      <c r="I422" s="15"/>
      <c r="K422" s="16"/>
      <c r="L422" s="16"/>
      <c r="M422" s="16"/>
      <c r="N422" s="16"/>
      <c r="O422" s="16"/>
      <c r="S422" s="11"/>
      <c r="T422" s="11"/>
      <c r="U422" s="11"/>
      <c r="Y422" s="27"/>
      <c r="Z422" s="11"/>
      <c r="AE422" s="11"/>
      <c r="AH422" s="28"/>
      <c r="AI422" s="28"/>
      <c r="AJ422" s="12"/>
      <c r="AK422" s="29"/>
      <c r="AL422" s="12"/>
    </row>
    <row r="423" spans="9:38" x14ac:dyDescent="0.25">
      <c r="I423" s="15"/>
      <c r="K423" s="16"/>
      <c r="L423" s="16"/>
      <c r="M423" s="16"/>
      <c r="N423" s="16"/>
      <c r="O423" s="16"/>
      <c r="S423" s="11"/>
      <c r="T423" s="11"/>
      <c r="U423" s="11"/>
      <c r="Y423" s="27"/>
      <c r="Z423" s="11"/>
      <c r="AE423" s="11"/>
      <c r="AH423" s="28"/>
      <c r="AI423" s="28"/>
      <c r="AJ423" s="12"/>
      <c r="AK423" s="29"/>
      <c r="AL423" s="12"/>
    </row>
    <row r="424" spans="9:38" x14ac:dyDescent="0.25">
      <c r="I424" s="15"/>
      <c r="K424" s="16"/>
      <c r="L424" s="16"/>
      <c r="M424" s="16"/>
      <c r="N424" s="16"/>
      <c r="O424" s="16"/>
      <c r="S424" s="11"/>
      <c r="T424" s="11"/>
      <c r="U424" s="11"/>
      <c r="Y424" s="27"/>
      <c r="Z424" s="11"/>
      <c r="AE424" s="11"/>
      <c r="AH424" s="28"/>
      <c r="AI424" s="28"/>
      <c r="AJ424" s="12"/>
      <c r="AK424" s="29"/>
      <c r="AL424" s="12"/>
    </row>
    <row r="425" spans="9:38" x14ac:dyDescent="0.25">
      <c r="I425" s="15"/>
      <c r="K425" s="16"/>
      <c r="L425" s="16"/>
      <c r="M425" s="16"/>
      <c r="N425" s="16"/>
      <c r="O425" s="16"/>
      <c r="S425" s="11"/>
      <c r="T425" s="11"/>
      <c r="U425" s="11"/>
      <c r="Y425" s="27"/>
      <c r="Z425" s="11"/>
      <c r="AE425" s="11"/>
      <c r="AH425" s="28"/>
      <c r="AI425" s="28"/>
      <c r="AJ425" s="12"/>
      <c r="AK425" s="29"/>
      <c r="AL425" s="12"/>
    </row>
    <row r="426" spans="9:38" x14ac:dyDescent="0.25">
      <c r="I426" s="15"/>
      <c r="K426" s="16"/>
      <c r="L426" s="16"/>
      <c r="M426" s="16"/>
      <c r="N426" s="16"/>
      <c r="O426" s="16"/>
      <c r="S426" s="11"/>
      <c r="T426" s="11"/>
      <c r="U426" s="11"/>
      <c r="Y426" s="27"/>
      <c r="Z426" s="11"/>
      <c r="AE426" s="11"/>
      <c r="AH426" s="28"/>
      <c r="AI426" s="28"/>
      <c r="AJ426" s="12"/>
      <c r="AK426" s="29"/>
      <c r="AL426" s="12"/>
    </row>
    <row r="427" spans="9:38" x14ac:dyDescent="0.25">
      <c r="I427" s="15"/>
      <c r="K427" s="16"/>
      <c r="L427" s="16"/>
      <c r="M427" s="16"/>
      <c r="N427" s="16"/>
      <c r="O427" s="16"/>
      <c r="S427" s="11"/>
      <c r="T427" s="11"/>
      <c r="U427" s="11"/>
      <c r="Y427" s="27"/>
      <c r="Z427" s="11"/>
      <c r="AE427" s="11"/>
      <c r="AH427" s="28"/>
      <c r="AI427" s="28"/>
      <c r="AJ427" s="12"/>
      <c r="AK427" s="29"/>
      <c r="AL427" s="12"/>
    </row>
    <row r="428" spans="9:38" x14ac:dyDescent="0.25">
      <c r="I428" s="15"/>
      <c r="K428" s="16"/>
      <c r="L428" s="16"/>
      <c r="M428" s="16"/>
      <c r="N428" s="16"/>
      <c r="O428" s="16"/>
      <c r="S428" s="11"/>
      <c r="T428" s="11"/>
      <c r="U428" s="11"/>
      <c r="Y428" s="27"/>
      <c r="Z428" s="11"/>
      <c r="AE428" s="11"/>
      <c r="AH428" s="28"/>
      <c r="AI428" s="28"/>
      <c r="AJ428" s="12"/>
      <c r="AK428" s="29"/>
      <c r="AL428" s="12"/>
    </row>
    <row r="429" spans="9:38" x14ac:dyDescent="0.25">
      <c r="I429" s="15"/>
      <c r="K429" s="16"/>
      <c r="L429" s="16"/>
      <c r="M429" s="16"/>
      <c r="N429" s="16"/>
      <c r="O429" s="16"/>
      <c r="S429" s="11"/>
      <c r="T429" s="11"/>
      <c r="U429" s="11"/>
      <c r="Y429" s="27"/>
      <c r="Z429" s="11"/>
      <c r="AE429" s="11"/>
      <c r="AH429" s="28"/>
      <c r="AI429" s="28"/>
      <c r="AJ429" s="12"/>
      <c r="AK429" s="29"/>
      <c r="AL429" s="12"/>
    </row>
    <row r="430" spans="9:38" x14ac:dyDescent="0.25">
      <c r="I430" s="15"/>
      <c r="K430" s="16"/>
      <c r="L430" s="16"/>
      <c r="M430" s="16"/>
      <c r="N430" s="16"/>
      <c r="O430" s="16"/>
      <c r="S430" s="11"/>
      <c r="T430" s="11"/>
      <c r="U430" s="11"/>
      <c r="Y430" s="27"/>
      <c r="Z430" s="11"/>
      <c r="AE430" s="11"/>
      <c r="AH430" s="28"/>
      <c r="AI430" s="28"/>
      <c r="AJ430" s="12"/>
      <c r="AK430" s="29"/>
      <c r="AL430" s="12"/>
    </row>
    <row r="431" spans="9:38" x14ac:dyDescent="0.25">
      <c r="I431" s="15"/>
      <c r="K431" s="16"/>
      <c r="L431" s="16"/>
      <c r="M431" s="16"/>
      <c r="N431" s="16"/>
      <c r="O431" s="16"/>
      <c r="S431" s="11"/>
      <c r="T431" s="11"/>
      <c r="U431" s="11"/>
      <c r="Y431" s="27"/>
      <c r="Z431" s="11"/>
      <c r="AE431" s="11"/>
      <c r="AH431" s="28"/>
      <c r="AI431" s="28"/>
      <c r="AJ431" s="12"/>
      <c r="AK431" s="29"/>
      <c r="AL431" s="12"/>
    </row>
    <row r="432" spans="9:38" x14ac:dyDescent="0.25">
      <c r="I432" s="15"/>
      <c r="K432" s="16"/>
      <c r="L432" s="16"/>
      <c r="M432" s="16"/>
      <c r="N432" s="16"/>
      <c r="O432" s="16"/>
      <c r="S432" s="11"/>
      <c r="T432" s="11"/>
      <c r="U432" s="11"/>
      <c r="Y432" s="27"/>
      <c r="Z432" s="11"/>
      <c r="AE432" s="11"/>
      <c r="AH432" s="28"/>
      <c r="AI432" s="28"/>
      <c r="AJ432" s="12"/>
      <c r="AK432" s="29"/>
      <c r="AL432" s="12"/>
    </row>
    <row r="433" spans="9:38" x14ac:dyDescent="0.25">
      <c r="I433" s="15"/>
      <c r="K433" s="16"/>
      <c r="L433" s="16"/>
      <c r="M433" s="16"/>
      <c r="N433" s="16"/>
      <c r="O433" s="16"/>
      <c r="S433" s="11"/>
      <c r="T433" s="11"/>
      <c r="U433" s="11"/>
      <c r="Y433" s="27"/>
      <c r="Z433" s="11"/>
      <c r="AE433" s="11"/>
      <c r="AH433" s="28"/>
      <c r="AI433" s="28"/>
      <c r="AJ433" s="12"/>
      <c r="AK433" s="29"/>
      <c r="AL433" s="12"/>
    </row>
    <row r="434" spans="9:38" x14ac:dyDescent="0.25">
      <c r="I434" s="15"/>
      <c r="K434" s="16"/>
      <c r="L434" s="16"/>
      <c r="M434" s="16"/>
      <c r="N434" s="16"/>
      <c r="O434" s="16"/>
      <c r="S434" s="11"/>
      <c r="T434" s="11"/>
      <c r="U434" s="11"/>
      <c r="Y434" s="27"/>
      <c r="Z434" s="11"/>
      <c r="AE434" s="11"/>
      <c r="AH434" s="28"/>
      <c r="AI434" s="28"/>
      <c r="AJ434" s="12"/>
      <c r="AK434" s="29"/>
      <c r="AL434" s="12"/>
    </row>
    <row r="435" spans="9:38" x14ac:dyDescent="0.25">
      <c r="I435" s="15"/>
      <c r="K435" s="16"/>
      <c r="L435" s="16"/>
      <c r="M435" s="16"/>
      <c r="N435" s="16"/>
      <c r="O435" s="16"/>
      <c r="S435" s="11"/>
      <c r="T435" s="11"/>
      <c r="U435" s="11"/>
      <c r="Y435" s="27"/>
      <c r="Z435" s="11"/>
      <c r="AE435" s="11"/>
      <c r="AH435" s="28"/>
      <c r="AI435" s="28"/>
      <c r="AJ435" s="12"/>
      <c r="AK435" s="29"/>
      <c r="AL435" s="12"/>
    </row>
    <row r="436" spans="9:38" x14ac:dyDescent="0.25">
      <c r="I436" s="15"/>
      <c r="K436" s="16"/>
      <c r="L436" s="16"/>
      <c r="M436" s="16"/>
      <c r="N436" s="16"/>
      <c r="O436" s="16"/>
      <c r="S436" s="11"/>
      <c r="T436" s="11"/>
      <c r="U436" s="11"/>
      <c r="Y436" s="27"/>
      <c r="Z436" s="11"/>
      <c r="AE436" s="11"/>
      <c r="AH436" s="28"/>
      <c r="AI436" s="28"/>
      <c r="AJ436" s="12"/>
      <c r="AK436" s="29"/>
      <c r="AL436" s="12"/>
    </row>
    <row r="437" spans="9:38" x14ac:dyDescent="0.25">
      <c r="I437" s="15"/>
      <c r="K437" s="16"/>
      <c r="L437" s="16"/>
      <c r="M437" s="16"/>
      <c r="N437" s="16"/>
      <c r="O437" s="16"/>
      <c r="S437" s="11"/>
      <c r="T437" s="11"/>
      <c r="U437" s="11"/>
      <c r="Y437" s="27"/>
      <c r="Z437" s="11"/>
      <c r="AE437" s="11"/>
      <c r="AH437" s="28"/>
      <c r="AI437" s="28"/>
      <c r="AJ437" s="12"/>
      <c r="AK437" s="29"/>
      <c r="AL437" s="12"/>
    </row>
    <row r="438" spans="9:38" x14ac:dyDescent="0.25">
      <c r="I438" s="15"/>
      <c r="K438" s="16"/>
      <c r="L438" s="16"/>
      <c r="M438" s="16"/>
      <c r="N438" s="16"/>
      <c r="O438" s="16"/>
      <c r="S438" s="11"/>
      <c r="T438" s="11"/>
      <c r="U438" s="11"/>
      <c r="Y438" s="27"/>
      <c r="Z438" s="11"/>
      <c r="AE438" s="11"/>
      <c r="AH438" s="28"/>
      <c r="AI438" s="28"/>
      <c r="AJ438" s="12"/>
      <c r="AK438" s="29"/>
      <c r="AL438" s="12"/>
    </row>
    <row r="439" spans="9:38" x14ac:dyDescent="0.25">
      <c r="I439" s="15"/>
      <c r="K439" s="16"/>
      <c r="L439" s="16"/>
      <c r="M439" s="16"/>
      <c r="N439" s="16"/>
      <c r="O439" s="16"/>
      <c r="S439" s="11"/>
      <c r="T439" s="11"/>
      <c r="U439" s="11"/>
      <c r="Y439" s="27"/>
      <c r="Z439" s="11"/>
      <c r="AE439" s="11"/>
      <c r="AH439" s="28"/>
      <c r="AI439" s="28"/>
      <c r="AJ439" s="12"/>
      <c r="AK439" s="29"/>
      <c r="AL439" s="12"/>
    </row>
    <row r="440" spans="9:38" x14ac:dyDescent="0.25">
      <c r="I440" s="15"/>
      <c r="K440" s="16"/>
      <c r="L440" s="16"/>
      <c r="M440" s="16"/>
      <c r="N440" s="16"/>
      <c r="O440" s="16"/>
      <c r="S440" s="11"/>
      <c r="T440" s="11"/>
      <c r="U440" s="11"/>
      <c r="Y440" s="27"/>
      <c r="Z440" s="11"/>
      <c r="AE440" s="11"/>
      <c r="AH440" s="28"/>
      <c r="AI440" s="28"/>
      <c r="AJ440" s="12"/>
      <c r="AK440" s="29"/>
      <c r="AL440" s="12"/>
    </row>
    <row r="441" spans="9:38" x14ac:dyDescent="0.25">
      <c r="I441" s="15"/>
      <c r="K441" s="16"/>
      <c r="L441" s="16"/>
      <c r="M441" s="16"/>
      <c r="N441" s="16"/>
      <c r="O441" s="16"/>
      <c r="S441" s="11"/>
      <c r="T441" s="11"/>
      <c r="U441" s="11"/>
      <c r="Y441" s="27"/>
      <c r="Z441" s="11"/>
      <c r="AE441" s="11"/>
      <c r="AH441" s="28"/>
      <c r="AI441" s="28"/>
      <c r="AJ441" s="12"/>
      <c r="AK441" s="29"/>
      <c r="AL441" s="12"/>
    </row>
    <row r="442" spans="9:38" x14ac:dyDescent="0.25">
      <c r="I442" s="15"/>
      <c r="K442" s="16"/>
      <c r="L442" s="16"/>
      <c r="M442" s="16"/>
      <c r="N442" s="16"/>
      <c r="O442" s="16"/>
      <c r="S442" s="11"/>
      <c r="T442" s="11"/>
      <c r="U442" s="11"/>
      <c r="Y442" s="27"/>
      <c r="Z442" s="11"/>
      <c r="AE442" s="11"/>
      <c r="AH442" s="28"/>
      <c r="AI442" s="28"/>
      <c r="AJ442" s="12"/>
      <c r="AK442" s="29"/>
      <c r="AL442" s="12"/>
    </row>
    <row r="443" spans="9:38" x14ac:dyDescent="0.25">
      <c r="I443" s="15"/>
      <c r="K443" s="16"/>
      <c r="L443" s="16"/>
      <c r="M443" s="16"/>
      <c r="N443" s="16"/>
      <c r="O443" s="16"/>
      <c r="S443" s="11"/>
      <c r="T443" s="11"/>
      <c r="U443" s="11"/>
      <c r="Y443" s="27"/>
      <c r="Z443" s="11"/>
      <c r="AE443" s="11"/>
      <c r="AH443" s="28"/>
      <c r="AI443" s="28"/>
      <c r="AJ443" s="12"/>
      <c r="AK443" s="29"/>
      <c r="AL443" s="12"/>
    </row>
    <row r="444" spans="9:38" x14ac:dyDescent="0.25">
      <c r="I444" s="15"/>
      <c r="K444" s="16"/>
      <c r="L444" s="16"/>
      <c r="M444" s="16"/>
      <c r="N444" s="16"/>
      <c r="O444" s="16"/>
      <c r="S444" s="11"/>
      <c r="T444" s="11"/>
      <c r="U444" s="11"/>
      <c r="Y444" s="27"/>
      <c r="Z444" s="11"/>
      <c r="AE444" s="11"/>
      <c r="AH444" s="28"/>
      <c r="AI444" s="28"/>
      <c r="AJ444" s="12"/>
      <c r="AK444" s="29"/>
      <c r="AL444" s="12"/>
    </row>
    <row r="445" spans="9:38" x14ac:dyDescent="0.25">
      <c r="I445" s="15"/>
      <c r="K445" s="16"/>
      <c r="L445" s="16"/>
      <c r="M445" s="16"/>
      <c r="N445" s="16"/>
      <c r="O445" s="16"/>
      <c r="S445" s="11"/>
      <c r="T445" s="11"/>
      <c r="U445" s="11"/>
      <c r="Y445" s="27"/>
      <c r="Z445" s="11"/>
      <c r="AE445" s="11"/>
      <c r="AH445" s="28"/>
      <c r="AI445" s="28"/>
      <c r="AJ445" s="12"/>
      <c r="AK445" s="29"/>
      <c r="AL445" s="12"/>
    </row>
    <row r="446" spans="9:38" x14ac:dyDescent="0.25">
      <c r="I446" s="15"/>
      <c r="K446" s="16"/>
      <c r="L446" s="16"/>
      <c r="M446" s="16"/>
      <c r="N446" s="16"/>
      <c r="O446" s="16"/>
      <c r="S446" s="11"/>
      <c r="T446" s="11"/>
      <c r="U446" s="11"/>
      <c r="Y446" s="27"/>
      <c r="Z446" s="11"/>
      <c r="AE446" s="11"/>
      <c r="AH446" s="28"/>
      <c r="AI446" s="28"/>
      <c r="AJ446" s="12"/>
      <c r="AK446" s="29"/>
      <c r="AL446" s="12"/>
    </row>
    <row r="447" spans="9:38" x14ac:dyDescent="0.25">
      <c r="I447" s="15"/>
      <c r="K447" s="16"/>
      <c r="L447" s="16"/>
      <c r="M447" s="16"/>
      <c r="N447" s="16"/>
      <c r="O447" s="16"/>
      <c r="S447" s="11"/>
      <c r="T447" s="11"/>
      <c r="U447" s="11"/>
      <c r="Y447" s="27"/>
      <c r="Z447" s="11"/>
      <c r="AE447" s="11"/>
      <c r="AH447" s="28"/>
      <c r="AI447" s="28"/>
      <c r="AJ447" s="12"/>
      <c r="AK447" s="29"/>
      <c r="AL447" s="12"/>
    </row>
    <row r="448" spans="9:38" x14ac:dyDescent="0.25">
      <c r="I448" s="15"/>
      <c r="K448" s="16"/>
      <c r="L448" s="16"/>
      <c r="M448" s="16"/>
      <c r="N448" s="16"/>
      <c r="O448" s="16"/>
      <c r="S448" s="11"/>
      <c r="T448" s="11"/>
      <c r="U448" s="11"/>
      <c r="Y448" s="27"/>
      <c r="Z448" s="11"/>
      <c r="AE448" s="11"/>
      <c r="AH448" s="28"/>
      <c r="AI448" s="28"/>
      <c r="AJ448" s="12"/>
      <c r="AK448" s="29"/>
      <c r="AL448" s="12"/>
    </row>
    <row r="449" spans="9:38" x14ac:dyDescent="0.25">
      <c r="I449" s="15"/>
      <c r="K449" s="16"/>
      <c r="L449" s="16"/>
      <c r="M449" s="16"/>
      <c r="N449" s="16"/>
      <c r="O449" s="16"/>
      <c r="S449" s="11"/>
      <c r="T449" s="11"/>
      <c r="U449" s="11"/>
      <c r="Y449" s="27"/>
      <c r="Z449" s="11"/>
      <c r="AE449" s="11"/>
      <c r="AH449" s="28"/>
      <c r="AI449" s="28"/>
      <c r="AJ449" s="12"/>
      <c r="AK449" s="29"/>
      <c r="AL449" s="12"/>
    </row>
    <row r="450" spans="9:38" x14ac:dyDescent="0.25">
      <c r="I450" s="15"/>
      <c r="K450" s="16"/>
      <c r="L450" s="16"/>
      <c r="M450" s="16"/>
      <c r="N450" s="16"/>
      <c r="O450" s="16"/>
      <c r="S450" s="11"/>
      <c r="T450" s="11"/>
      <c r="U450" s="11"/>
      <c r="Y450" s="27"/>
      <c r="Z450" s="11"/>
      <c r="AE450" s="11"/>
      <c r="AH450" s="28"/>
      <c r="AI450" s="28"/>
      <c r="AJ450" s="12"/>
      <c r="AK450" s="29"/>
      <c r="AL450" s="12"/>
    </row>
    <row r="451" spans="9:38" x14ac:dyDescent="0.25">
      <c r="I451" s="15"/>
      <c r="K451" s="16"/>
      <c r="L451" s="16"/>
      <c r="M451" s="16"/>
      <c r="N451" s="16"/>
      <c r="O451" s="16"/>
      <c r="S451" s="11"/>
      <c r="T451" s="11"/>
      <c r="U451" s="11"/>
      <c r="Y451" s="27"/>
      <c r="Z451" s="11"/>
      <c r="AE451" s="11"/>
      <c r="AH451" s="28"/>
      <c r="AI451" s="28"/>
      <c r="AJ451" s="12"/>
      <c r="AK451" s="29"/>
      <c r="AL451" s="12"/>
    </row>
    <row r="452" spans="9:38" x14ac:dyDescent="0.25">
      <c r="I452" s="15"/>
      <c r="K452" s="16"/>
      <c r="L452" s="16"/>
      <c r="M452" s="16"/>
      <c r="N452" s="16"/>
      <c r="O452" s="16"/>
      <c r="S452" s="11"/>
      <c r="T452" s="11"/>
      <c r="U452" s="11"/>
      <c r="Y452" s="27"/>
      <c r="Z452" s="11"/>
      <c r="AE452" s="11"/>
      <c r="AH452" s="28"/>
      <c r="AI452" s="28"/>
      <c r="AJ452" s="12"/>
      <c r="AK452" s="29"/>
      <c r="AL452" s="12"/>
    </row>
    <row r="453" spans="9:38" x14ac:dyDescent="0.25">
      <c r="I453" s="15"/>
      <c r="K453" s="16"/>
      <c r="L453" s="16"/>
      <c r="M453" s="16"/>
      <c r="N453" s="16"/>
      <c r="O453" s="16"/>
      <c r="S453" s="11"/>
      <c r="T453" s="11"/>
      <c r="U453" s="11"/>
      <c r="Y453" s="27"/>
      <c r="Z453" s="11"/>
      <c r="AE453" s="11"/>
      <c r="AH453" s="28"/>
      <c r="AI453" s="28"/>
      <c r="AJ453" s="12"/>
      <c r="AK453" s="29"/>
      <c r="AL453" s="12"/>
    </row>
    <row r="454" spans="9:38" x14ac:dyDescent="0.25">
      <c r="I454" s="15"/>
      <c r="K454" s="16"/>
      <c r="L454" s="16"/>
      <c r="M454" s="16"/>
      <c r="N454" s="16"/>
      <c r="O454" s="16"/>
      <c r="S454" s="11"/>
      <c r="T454" s="11"/>
      <c r="U454" s="11"/>
      <c r="Y454" s="27"/>
      <c r="Z454" s="11"/>
      <c r="AE454" s="11"/>
      <c r="AH454" s="28"/>
      <c r="AI454" s="28"/>
      <c r="AJ454" s="12"/>
      <c r="AK454" s="29"/>
      <c r="AL454" s="12"/>
    </row>
    <row r="455" spans="9:38" x14ac:dyDescent="0.25">
      <c r="I455" s="15"/>
      <c r="K455" s="16"/>
      <c r="L455" s="16"/>
      <c r="M455" s="16"/>
      <c r="N455" s="16"/>
      <c r="O455" s="16"/>
      <c r="S455" s="11"/>
      <c r="T455" s="11"/>
      <c r="U455" s="11"/>
      <c r="Y455" s="27"/>
      <c r="Z455" s="11"/>
      <c r="AE455" s="11"/>
      <c r="AH455" s="28"/>
      <c r="AI455" s="28"/>
      <c r="AJ455" s="12"/>
      <c r="AK455" s="29"/>
      <c r="AL455" s="12"/>
    </row>
    <row r="456" spans="9:38" x14ac:dyDescent="0.25">
      <c r="I456" s="15"/>
      <c r="K456" s="16"/>
      <c r="L456" s="16"/>
      <c r="M456" s="16"/>
      <c r="N456" s="16"/>
      <c r="O456" s="16"/>
      <c r="S456" s="11"/>
      <c r="T456" s="11"/>
      <c r="U456" s="11"/>
      <c r="Y456" s="27"/>
      <c r="Z456" s="11"/>
      <c r="AE456" s="11"/>
      <c r="AH456" s="28"/>
      <c r="AI456" s="28"/>
      <c r="AJ456" s="12"/>
      <c r="AK456" s="29"/>
      <c r="AL456" s="12"/>
    </row>
    <row r="457" spans="9:38" x14ac:dyDescent="0.25">
      <c r="I457" s="15"/>
      <c r="K457" s="16"/>
      <c r="L457" s="16"/>
      <c r="M457" s="16"/>
      <c r="N457" s="16"/>
      <c r="O457" s="16"/>
      <c r="S457" s="11"/>
      <c r="T457" s="11"/>
      <c r="U457" s="11"/>
      <c r="Y457" s="27"/>
      <c r="Z457" s="11"/>
      <c r="AE457" s="11"/>
      <c r="AH457" s="28"/>
      <c r="AI457" s="28"/>
      <c r="AJ457" s="12"/>
      <c r="AK457" s="29"/>
      <c r="AL457" s="12"/>
    </row>
    <row r="458" spans="9:38" x14ac:dyDescent="0.25">
      <c r="I458" s="15"/>
      <c r="K458" s="16"/>
      <c r="L458" s="16"/>
      <c r="M458" s="16"/>
      <c r="N458" s="16"/>
      <c r="O458" s="16"/>
      <c r="S458" s="11"/>
      <c r="T458" s="11"/>
      <c r="U458" s="11"/>
      <c r="Y458" s="27"/>
      <c r="Z458" s="11"/>
      <c r="AE458" s="11"/>
      <c r="AH458" s="28"/>
      <c r="AI458" s="28"/>
      <c r="AJ458" s="12"/>
      <c r="AK458" s="29"/>
      <c r="AL458" s="12"/>
    </row>
    <row r="459" spans="9:38" x14ac:dyDescent="0.25">
      <c r="I459" s="15"/>
      <c r="K459" s="16"/>
      <c r="L459" s="16"/>
      <c r="M459" s="16"/>
      <c r="N459" s="16"/>
      <c r="O459" s="16"/>
      <c r="S459" s="11"/>
      <c r="T459" s="11"/>
      <c r="U459" s="11"/>
      <c r="Y459" s="27"/>
      <c r="Z459" s="11"/>
      <c r="AE459" s="11"/>
      <c r="AH459" s="28"/>
      <c r="AI459" s="28"/>
      <c r="AJ459" s="12"/>
      <c r="AK459" s="29"/>
      <c r="AL459" s="12"/>
    </row>
    <row r="460" spans="9:38" x14ac:dyDescent="0.25">
      <c r="I460" s="15"/>
      <c r="K460" s="16"/>
      <c r="L460" s="16"/>
      <c r="M460" s="16"/>
      <c r="N460" s="16"/>
      <c r="O460" s="16"/>
      <c r="S460" s="11"/>
      <c r="T460" s="11"/>
      <c r="U460" s="11"/>
      <c r="Y460" s="27"/>
      <c r="Z460" s="11"/>
      <c r="AE460" s="11"/>
      <c r="AH460" s="28"/>
      <c r="AI460" s="28"/>
      <c r="AJ460" s="12"/>
      <c r="AK460" s="29"/>
      <c r="AL460" s="12"/>
    </row>
    <row r="461" spans="9:38" x14ac:dyDescent="0.25">
      <c r="I461" s="15"/>
      <c r="K461" s="16"/>
      <c r="L461" s="16"/>
      <c r="M461" s="16"/>
      <c r="N461" s="16"/>
      <c r="O461" s="16"/>
      <c r="S461" s="11"/>
      <c r="T461" s="11"/>
      <c r="U461" s="11"/>
      <c r="Y461" s="27"/>
      <c r="Z461" s="11"/>
      <c r="AE461" s="11"/>
      <c r="AH461" s="28"/>
      <c r="AI461" s="28"/>
      <c r="AJ461" s="12"/>
      <c r="AK461" s="29"/>
      <c r="AL461" s="12"/>
    </row>
    <row r="462" spans="9:38" x14ac:dyDescent="0.25">
      <c r="I462" s="15"/>
      <c r="K462" s="16"/>
      <c r="L462" s="16"/>
      <c r="M462" s="16"/>
      <c r="N462" s="16"/>
      <c r="O462" s="16"/>
      <c r="S462" s="11"/>
      <c r="T462" s="11"/>
      <c r="U462" s="11"/>
      <c r="Y462" s="27"/>
      <c r="Z462" s="11"/>
      <c r="AE462" s="11"/>
      <c r="AH462" s="28"/>
      <c r="AI462" s="28"/>
      <c r="AJ462" s="12"/>
      <c r="AK462" s="29"/>
      <c r="AL462" s="12"/>
    </row>
    <row r="463" spans="9:38" x14ac:dyDescent="0.25">
      <c r="I463" s="15"/>
      <c r="K463" s="16"/>
      <c r="L463" s="16"/>
      <c r="M463" s="16"/>
      <c r="N463" s="16"/>
      <c r="O463" s="16"/>
      <c r="S463" s="11"/>
      <c r="T463" s="11"/>
      <c r="U463" s="11"/>
      <c r="Y463" s="27"/>
      <c r="Z463" s="11"/>
      <c r="AE463" s="11"/>
      <c r="AH463" s="28"/>
      <c r="AI463" s="28"/>
      <c r="AJ463" s="12"/>
      <c r="AK463" s="29"/>
      <c r="AL463" s="12"/>
    </row>
    <row r="464" spans="9:38" x14ac:dyDescent="0.25">
      <c r="I464" s="15"/>
      <c r="K464" s="16"/>
      <c r="L464" s="16"/>
      <c r="M464" s="16"/>
      <c r="N464" s="16"/>
      <c r="O464" s="16"/>
      <c r="S464" s="11"/>
      <c r="T464" s="11"/>
      <c r="U464" s="11"/>
      <c r="Y464" s="27"/>
      <c r="Z464" s="11"/>
      <c r="AE464" s="11"/>
      <c r="AH464" s="28"/>
      <c r="AI464" s="28"/>
      <c r="AJ464" s="12"/>
      <c r="AK464" s="29"/>
      <c r="AL464" s="12"/>
    </row>
    <row r="465" spans="9:38" x14ac:dyDescent="0.25">
      <c r="I465" s="15"/>
      <c r="K465" s="16"/>
      <c r="L465" s="16"/>
      <c r="M465" s="16"/>
      <c r="N465" s="16"/>
      <c r="O465" s="16"/>
      <c r="S465" s="11"/>
      <c r="T465" s="11"/>
      <c r="U465" s="11"/>
      <c r="Y465" s="27"/>
      <c r="Z465" s="11"/>
      <c r="AE465" s="11"/>
      <c r="AH465" s="28"/>
      <c r="AI465" s="28"/>
      <c r="AJ465" s="12"/>
      <c r="AK465" s="29"/>
      <c r="AL465" s="12"/>
    </row>
    <row r="466" spans="9:38" x14ac:dyDescent="0.25">
      <c r="I466" s="15"/>
      <c r="K466" s="16"/>
      <c r="L466" s="16"/>
      <c r="M466" s="16"/>
      <c r="N466" s="16"/>
      <c r="O466" s="16"/>
      <c r="S466" s="11"/>
      <c r="T466" s="11"/>
      <c r="U466" s="11"/>
      <c r="Y466" s="27"/>
      <c r="Z466" s="11"/>
      <c r="AE466" s="11"/>
      <c r="AH466" s="28"/>
      <c r="AI466" s="28"/>
      <c r="AJ466" s="12"/>
      <c r="AK466" s="29"/>
      <c r="AL466" s="12"/>
    </row>
    <row r="467" spans="9:38" x14ac:dyDescent="0.25">
      <c r="I467" s="15"/>
      <c r="K467" s="16"/>
      <c r="L467" s="16"/>
      <c r="M467" s="16"/>
      <c r="N467" s="16"/>
      <c r="O467" s="16"/>
      <c r="S467" s="11"/>
      <c r="T467" s="11"/>
      <c r="U467" s="11"/>
      <c r="Y467" s="27"/>
      <c r="Z467" s="11"/>
      <c r="AE467" s="11"/>
      <c r="AH467" s="28"/>
      <c r="AI467" s="28"/>
      <c r="AJ467" s="12"/>
      <c r="AK467" s="29"/>
      <c r="AL467" s="12"/>
    </row>
    <row r="468" spans="9:38" x14ac:dyDescent="0.25">
      <c r="I468" s="15"/>
      <c r="K468" s="16"/>
      <c r="L468" s="16"/>
      <c r="M468" s="16"/>
      <c r="N468" s="16"/>
      <c r="O468" s="16"/>
      <c r="S468" s="11"/>
      <c r="T468" s="11"/>
      <c r="U468" s="11"/>
      <c r="Y468" s="27"/>
      <c r="Z468" s="11"/>
      <c r="AE468" s="11"/>
      <c r="AH468" s="28"/>
      <c r="AI468" s="28"/>
      <c r="AJ468" s="12"/>
      <c r="AK468" s="29"/>
      <c r="AL468" s="12"/>
    </row>
    <row r="469" spans="9:38" x14ac:dyDescent="0.25">
      <c r="I469" s="15"/>
      <c r="K469" s="16"/>
      <c r="L469" s="16"/>
      <c r="M469" s="16"/>
      <c r="N469" s="16"/>
      <c r="O469" s="16"/>
      <c r="S469" s="11"/>
      <c r="T469" s="11"/>
      <c r="U469" s="11"/>
      <c r="Y469" s="27"/>
      <c r="Z469" s="11"/>
      <c r="AE469" s="11"/>
      <c r="AH469" s="28"/>
      <c r="AI469" s="28"/>
      <c r="AJ469" s="12"/>
      <c r="AK469" s="29"/>
      <c r="AL469" s="12"/>
    </row>
    <row r="470" spans="9:38" x14ac:dyDescent="0.25">
      <c r="I470" s="15"/>
      <c r="K470" s="16"/>
      <c r="L470" s="16"/>
      <c r="M470" s="16"/>
      <c r="N470" s="16"/>
      <c r="O470" s="16"/>
      <c r="S470" s="11"/>
      <c r="T470" s="11"/>
      <c r="U470" s="11"/>
      <c r="Y470" s="27"/>
      <c r="Z470" s="11"/>
      <c r="AE470" s="11"/>
      <c r="AH470" s="28"/>
      <c r="AI470" s="28"/>
      <c r="AJ470" s="12"/>
      <c r="AK470" s="29"/>
      <c r="AL470" s="12"/>
    </row>
    <row r="471" spans="9:38" x14ac:dyDescent="0.25">
      <c r="I471" s="15"/>
      <c r="K471" s="16"/>
      <c r="L471" s="16"/>
      <c r="M471" s="16"/>
      <c r="N471" s="16"/>
      <c r="O471" s="16"/>
      <c r="S471" s="11"/>
      <c r="T471" s="11"/>
      <c r="U471" s="11"/>
      <c r="Y471" s="27"/>
      <c r="Z471" s="11"/>
      <c r="AE471" s="11"/>
      <c r="AH471" s="28"/>
      <c r="AI471" s="28"/>
      <c r="AJ471" s="12"/>
      <c r="AK471" s="29"/>
      <c r="AL471" s="12"/>
    </row>
    <row r="472" spans="9:38" x14ac:dyDescent="0.25">
      <c r="I472" s="15"/>
      <c r="K472" s="16"/>
      <c r="L472" s="16"/>
      <c r="M472" s="16"/>
      <c r="N472" s="16"/>
      <c r="O472" s="16"/>
      <c r="S472" s="11"/>
      <c r="T472" s="11"/>
      <c r="U472" s="11"/>
      <c r="Y472" s="27"/>
      <c r="Z472" s="11"/>
      <c r="AE472" s="11"/>
      <c r="AH472" s="28"/>
      <c r="AI472" s="28"/>
      <c r="AJ472" s="12"/>
      <c r="AK472" s="29"/>
      <c r="AL472" s="12"/>
    </row>
    <row r="473" spans="9:38" x14ac:dyDescent="0.25">
      <c r="I473" s="15"/>
      <c r="K473" s="16"/>
      <c r="L473" s="16"/>
      <c r="M473" s="16"/>
      <c r="N473" s="16"/>
      <c r="O473" s="16"/>
      <c r="S473" s="11"/>
      <c r="T473" s="11"/>
      <c r="U473" s="11"/>
      <c r="Y473" s="27"/>
      <c r="Z473" s="11"/>
      <c r="AE473" s="11"/>
      <c r="AH473" s="28"/>
      <c r="AI473" s="28"/>
      <c r="AJ473" s="12"/>
      <c r="AK473" s="29"/>
      <c r="AL473" s="12"/>
    </row>
    <row r="474" spans="9:38" x14ac:dyDescent="0.25">
      <c r="I474" s="15"/>
      <c r="K474" s="16"/>
      <c r="L474" s="16"/>
      <c r="M474" s="16"/>
      <c r="N474" s="16"/>
      <c r="O474" s="16"/>
      <c r="S474" s="11"/>
      <c r="T474" s="11"/>
      <c r="U474" s="11"/>
      <c r="Y474" s="27"/>
      <c r="Z474" s="11"/>
      <c r="AE474" s="11"/>
      <c r="AH474" s="28"/>
      <c r="AI474" s="28"/>
      <c r="AJ474" s="12"/>
      <c r="AK474" s="29"/>
      <c r="AL474" s="12"/>
    </row>
    <row r="475" spans="9:38" x14ac:dyDescent="0.25">
      <c r="I475" s="15"/>
      <c r="K475" s="16"/>
      <c r="L475" s="16"/>
      <c r="M475" s="16"/>
      <c r="N475" s="16"/>
      <c r="O475" s="16"/>
      <c r="S475" s="11"/>
      <c r="T475" s="11"/>
      <c r="U475" s="11"/>
      <c r="Y475" s="27"/>
      <c r="Z475" s="11"/>
      <c r="AE475" s="11"/>
      <c r="AH475" s="28"/>
      <c r="AI475" s="28"/>
      <c r="AJ475" s="12"/>
      <c r="AK475" s="29"/>
      <c r="AL475" s="12"/>
    </row>
    <row r="476" spans="9:38" x14ac:dyDescent="0.25">
      <c r="I476" s="15"/>
      <c r="K476" s="16"/>
      <c r="L476" s="16"/>
      <c r="M476" s="16"/>
      <c r="N476" s="16"/>
      <c r="O476" s="16"/>
      <c r="S476" s="11"/>
      <c r="T476" s="11"/>
      <c r="U476" s="11"/>
      <c r="Y476" s="27"/>
      <c r="Z476" s="11"/>
      <c r="AE476" s="11"/>
      <c r="AH476" s="28"/>
      <c r="AI476" s="28"/>
      <c r="AJ476" s="12"/>
      <c r="AK476" s="29"/>
      <c r="AL476" s="12"/>
    </row>
    <row r="477" spans="9:38" x14ac:dyDescent="0.25">
      <c r="I477" s="15"/>
      <c r="K477" s="16"/>
      <c r="L477" s="16"/>
      <c r="M477" s="16"/>
      <c r="N477" s="16"/>
      <c r="O477" s="16"/>
      <c r="S477" s="11"/>
      <c r="T477" s="11"/>
      <c r="U477" s="11"/>
      <c r="Y477" s="27"/>
      <c r="Z477" s="11"/>
      <c r="AE477" s="11"/>
      <c r="AH477" s="28"/>
      <c r="AI477" s="28"/>
      <c r="AJ477" s="12"/>
      <c r="AK477" s="29"/>
      <c r="AL477" s="12"/>
    </row>
    <row r="478" spans="9:38" x14ac:dyDescent="0.25">
      <c r="I478" s="15"/>
      <c r="K478" s="16"/>
      <c r="L478" s="16"/>
      <c r="M478" s="16"/>
      <c r="N478" s="16"/>
      <c r="O478" s="16"/>
      <c r="S478" s="11"/>
      <c r="T478" s="11"/>
      <c r="U478" s="11"/>
      <c r="Y478" s="27"/>
      <c r="Z478" s="11"/>
      <c r="AE478" s="11"/>
      <c r="AH478" s="28"/>
      <c r="AI478" s="28"/>
      <c r="AJ478" s="12"/>
      <c r="AK478" s="29"/>
      <c r="AL478" s="12"/>
    </row>
    <row r="479" spans="9:38" x14ac:dyDescent="0.25">
      <c r="I479" s="15"/>
      <c r="K479" s="16"/>
      <c r="L479" s="16"/>
      <c r="M479" s="16"/>
      <c r="N479" s="16"/>
      <c r="O479" s="16"/>
      <c r="S479" s="11"/>
      <c r="T479" s="11"/>
      <c r="U479" s="11"/>
      <c r="Y479" s="27"/>
      <c r="Z479" s="11"/>
      <c r="AE479" s="11"/>
      <c r="AH479" s="28"/>
      <c r="AI479" s="28"/>
      <c r="AJ479" s="12"/>
      <c r="AK479" s="29"/>
      <c r="AL479" s="12"/>
    </row>
    <row r="480" spans="9:38" x14ac:dyDescent="0.25">
      <c r="I480" s="15"/>
      <c r="K480" s="16"/>
      <c r="L480" s="16"/>
      <c r="M480" s="16"/>
      <c r="N480" s="16"/>
      <c r="O480" s="16"/>
      <c r="S480" s="11"/>
      <c r="T480" s="11"/>
      <c r="U480" s="11"/>
      <c r="Y480" s="27"/>
      <c r="Z480" s="11"/>
      <c r="AE480" s="11"/>
      <c r="AH480" s="28"/>
      <c r="AI480" s="28"/>
      <c r="AJ480" s="12"/>
      <c r="AK480" s="29"/>
      <c r="AL480" s="12"/>
    </row>
    <row r="481" spans="9:38" x14ac:dyDescent="0.25">
      <c r="I481" s="15"/>
      <c r="K481" s="16"/>
      <c r="L481" s="16"/>
      <c r="M481" s="16"/>
      <c r="N481" s="16"/>
      <c r="O481" s="16"/>
      <c r="S481" s="11"/>
      <c r="T481" s="11"/>
      <c r="U481" s="11"/>
      <c r="Y481" s="27"/>
      <c r="Z481" s="11"/>
      <c r="AE481" s="11"/>
      <c r="AH481" s="28"/>
      <c r="AI481" s="28"/>
      <c r="AJ481" s="12"/>
      <c r="AK481" s="29"/>
      <c r="AL481" s="12"/>
    </row>
    <row r="482" spans="9:38" x14ac:dyDescent="0.25">
      <c r="I482" s="15"/>
      <c r="K482" s="16"/>
      <c r="L482" s="16"/>
      <c r="M482" s="16"/>
      <c r="N482" s="16"/>
      <c r="O482" s="16"/>
      <c r="S482" s="11"/>
      <c r="T482" s="11"/>
      <c r="U482" s="11"/>
      <c r="Y482" s="27"/>
      <c r="Z482" s="11"/>
      <c r="AE482" s="11"/>
      <c r="AH482" s="28"/>
      <c r="AI482" s="28"/>
      <c r="AJ482" s="12"/>
      <c r="AK482" s="29"/>
      <c r="AL482" s="12"/>
    </row>
    <row r="483" spans="9:38" x14ac:dyDescent="0.25">
      <c r="I483" s="15"/>
      <c r="K483" s="16"/>
      <c r="L483" s="16"/>
      <c r="M483" s="16"/>
      <c r="N483" s="16"/>
      <c r="O483" s="16"/>
      <c r="S483" s="11"/>
      <c r="T483" s="11"/>
      <c r="U483" s="11"/>
      <c r="Y483" s="27"/>
      <c r="Z483" s="11"/>
      <c r="AE483" s="11"/>
      <c r="AH483" s="28"/>
      <c r="AI483" s="28"/>
      <c r="AJ483" s="12"/>
      <c r="AK483" s="29"/>
      <c r="AL483" s="12"/>
    </row>
    <row r="484" spans="9:38" x14ac:dyDescent="0.25">
      <c r="I484" s="15"/>
      <c r="K484" s="16"/>
      <c r="L484" s="16"/>
      <c r="M484" s="16"/>
      <c r="N484" s="16"/>
      <c r="O484" s="16"/>
      <c r="S484" s="11"/>
      <c r="T484" s="11"/>
      <c r="U484" s="11"/>
      <c r="Y484" s="27"/>
      <c r="Z484" s="11"/>
      <c r="AE484" s="11"/>
      <c r="AH484" s="28"/>
      <c r="AI484" s="28"/>
      <c r="AJ484" s="12"/>
      <c r="AK484" s="29"/>
      <c r="AL484" s="12"/>
    </row>
    <row r="485" spans="9:38" x14ac:dyDescent="0.25">
      <c r="I485" s="15"/>
      <c r="K485" s="16"/>
      <c r="L485" s="16"/>
      <c r="M485" s="16"/>
      <c r="N485" s="16"/>
      <c r="O485" s="16"/>
      <c r="S485" s="11"/>
      <c r="T485" s="11"/>
      <c r="U485" s="11"/>
      <c r="Y485" s="27"/>
      <c r="Z485" s="11"/>
      <c r="AE485" s="11"/>
      <c r="AH485" s="28"/>
      <c r="AI485" s="28"/>
      <c r="AJ485" s="12"/>
      <c r="AK485" s="29"/>
      <c r="AL485" s="12"/>
    </row>
    <row r="486" spans="9:38" x14ac:dyDescent="0.25">
      <c r="I486" s="15"/>
      <c r="K486" s="16"/>
      <c r="L486" s="16"/>
      <c r="M486" s="16"/>
      <c r="N486" s="16"/>
      <c r="O486" s="16"/>
      <c r="S486" s="11"/>
      <c r="T486" s="11"/>
      <c r="U486" s="11"/>
      <c r="Y486" s="27"/>
      <c r="Z486" s="11"/>
      <c r="AE486" s="11"/>
      <c r="AH486" s="28"/>
      <c r="AI486" s="28"/>
      <c r="AJ486" s="12"/>
      <c r="AK486" s="29"/>
      <c r="AL486" s="12"/>
    </row>
    <row r="487" spans="9:38" x14ac:dyDescent="0.25">
      <c r="I487" s="15"/>
      <c r="K487" s="16"/>
      <c r="L487" s="16"/>
      <c r="M487" s="16"/>
      <c r="N487" s="16"/>
      <c r="O487" s="16"/>
      <c r="S487" s="11"/>
      <c r="T487" s="11"/>
      <c r="U487" s="11"/>
      <c r="Y487" s="27"/>
      <c r="Z487" s="11"/>
      <c r="AE487" s="11"/>
      <c r="AH487" s="28"/>
      <c r="AI487" s="28"/>
      <c r="AJ487" s="12"/>
      <c r="AK487" s="29"/>
      <c r="AL487" s="12"/>
    </row>
    <row r="488" spans="9:38" x14ac:dyDescent="0.25">
      <c r="I488" s="15"/>
      <c r="K488" s="16"/>
      <c r="L488" s="16"/>
      <c r="M488" s="16"/>
      <c r="N488" s="16"/>
      <c r="O488" s="16"/>
      <c r="S488" s="11"/>
      <c r="T488" s="11"/>
      <c r="U488" s="11"/>
      <c r="Y488" s="27"/>
      <c r="Z488" s="11"/>
      <c r="AE488" s="11"/>
      <c r="AH488" s="28"/>
      <c r="AI488" s="28"/>
      <c r="AJ488" s="12"/>
      <c r="AK488" s="29"/>
      <c r="AL488" s="12"/>
    </row>
    <row r="489" spans="9:38" x14ac:dyDescent="0.25">
      <c r="I489" s="15"/>
      <c r="K489" s="16"/>
      <c r="L489" s="16"/>
      <c r="M489" s="16"/>
      <c r="N489" s="16"/>
      <c r="O489" s="16"/>
      <c r="S489" s="11"/>
      <c r="T489" s="11"/>
      <c r="U489" s="11"/>
      <c r="Y489" s="27"/>
      <c r="Z489" s="11"/>
      <c r="AE489" s="11"/>
      <c r="AH489" s="28"/>
      <c r="AI489" s="28"/>
      <c r="AJ489" s="12"/>
      <c r="AK489" s="29"/>
      <c r="AL489" s="12"/>
    </row>
    <row r="490" spans="9:38" x14ac:dyDescent="0.25">
      <c r="I490" s="15"/>
      <c r="K490" s="16"/>
      <c r="L490" s="16"/>
      <c r="M490" s="16"/>
      <c r="N490" s="16"/>
      <c r="O490" s="16"/>
      <c r="S490" s="11"/>
      <c r="T490" s="11"/>
      <c r="U490" s="11"/>
      <c r="Y490" s="27"/>
      <c r="Z490" s="11"/>
      <c r="AE490" s="11"/>
      <c r="AH490" s="28"/>
      <c r="AI490" s="28"/>
      <c r="AJ490" s="12"/>
      <c r="AK490" s="29"/>
      <c r="AL490" s="12"/>
    </row>
    <row r="491" spans="9:38" x14ac:dyDescent="0.25">
      <c r="I491" s="15"/>
      <c r="K491" s="16"/>
      <c r="L491" s="16"/>
      <c r="M491" s="16"/>
      <c r="N491" s="16"/>
      <c r="O491" s="16"/>
      <c r="S491" s="11"/>
      <c r="T491" s="11"/>
      <c r="U491" s="11"/>
      <c r="Y491" s="27"/>
      <c r="Z491" s="11"/>
      <c r="AE491" s="11"/>
      <c r="AH491" s="28"/>
      <c r="AI491" s="28"/>
      <c r="AJ491" s="12"/>
      <c r="AK491" s="29"/>
      <c r="AL491" s="12"/>
    </row>
    <row r="492" spans="9:38" x14ac:dyDescent="0.25">
      <c r="I492" s="15"/>
      <c r="K492" s="16"/>
      <c r="L492" s="16"/>
      <c r="M492" s="16"/>
      <c r="N492" s="16"/>
      <c r="O492" s="16"/>
      <c r="S492" s="11"/>
      <c r="T492" s="11"/>
      <c r="U492" s="11"/>
      <c r="Y492" s="27"/>
      <c r="Z492" s="11"/>
      <c r="AE492" s="11"/>
      <c r="AH492" s="28"/>
      <c r="AI492" s="28"/>
      <c r="AJ492" s="12"/>
      <c r="AK492" s="29"/>
      <c r="AL492" s="12"/>
    </row>
    <row r="493" spans="9:38" x14ac:dyDescent="0.25">
      <c r="I493" s="15"/>
      <c r="K493" s="16"/>
      <c r="L493" s="16"/>
      <c r="M493" s="16"/>
      <c r="N493" s="16"/>
      <c r="O493" s="16"/>
      <c r="S493" s="11"/>
      <c r="T493" s="11"/>
      <c r="U493" s="11"/>
      <c r="Y493" s="27"/>
      <c r="Z493" s="11"/>
      <c r="AE493" s="11"/>
      <c r="AH493" s="28"/>
      <c r="AI493" s="28"/>
      <c r="AJ493" s="12"/>
      <c r="AK493" s="29"/>
      <c r="AL493" s="12"/>
    </row>
    <row r="494" spans="9:38" x14ac:dyDescent="0.25">
      <c r="I494" s="15"/>
      <c r="K494" s="16"/>
      <c r="L494" s="16"/>
      <c r="M494" s="16"/>
      <c r="N494" s="16"/>
      <c r="O494" s="16"/>
      <c r="S494" s="11"/>
      <c r="T494" s="11"/>
      <c r="U494" s="11"/>
      <c r="Y494" s="27"/>
      <c r="Z494" s="11"/>
      <c r="AE494" s="11"/>
      <c r="AH494" s="28"/>
      <c r="AI494" s="28"/>
      <c r="AJ494" s="12"/>
      <c r="AK494" s="29"/>
      <c r="AL494" s="12"/>
    </row>
    <row r="495" spans="9:38" x14ac:dyDescent="0.25">
      <c r="I495" s="15"/>
      <c r="K495" s="16"/>
      <c r="L495" s="16"/>
      <c r="M495" s="16"/>
      <c r="N495" s="16"/>
      <c r="O495" s="16"/>
      <c r="S495" s="11"/>
      <c r="T495" s="11"/>
      <c r="U495" s="11"/>
      <c r="Y495" s="27"/>
      <c r="Z495" s="11"/>
      <c r="AE495" s="11"/>
      <c r="AH495" s="28"/>
      <c r="AI495" s="28"/>
      <c r="AJ495" s="12"/>
      <c r="AK495" s="29"/>
      <c r="AL495" s="12"/>
    </row>
    <row r="496" spans="9:38" x14ac:dyDescent="0.25">
      <c r="I496" s="15"/>
      <c r="K496" s="16"/>
      <c r="L496" s="16"/>
      <c r="M496" s="16"/>
      <c r="N496" s="16"/>
      <c r="O496" s="16"/>
      <c r="S496" s="11"/>
      <c r="T496" s="11"/>
      <c r="U496" s="11"/>
      <c r="Y496" s="27"/>
      <c r="Z496" s="11"/>
      <c r="AE496" s="11"/>
      <c r="AH496" s="28"/>
      <c r="AI496" s="28"/>
      <c r="AJ496" s="12"/>
      <c r="AK496" s="29"/>
      <c r="AL496" s="12"/>
    </row>
    <row r="497" spans="9:38" x14ac:dyDescent="0.25">
      <c r="I497" s="15"/>
      <c r="K497" s="16"/>
      <c r="L497" s="16"/>
      <c r="M497" s="16"/>
      <c r="N497" s="16"/>
      <c r="O497" s="16"/>
      <c r="S497" s="11"/>
      <c r="T497" s="11"/>
      <c r="U497" s="11"/>
      <c r="Y497" s="27"/>
      <c r="Z497" s="11"/>
      <c r="AE497" s="11"/>
      <c r="AH497" s="28"/>
      <c r="AI497" s="28"/>
      <c r="AJ497" s="12"/>
      <c r="AK497" s="29"/>
      <c r="AL497" s="12"/>
    </row>
    <row r="498" spans="9:38" x14ac:dyDescent="0.25">
      <c r="I498" s="15"/>
      <c r="K498" s="16"/>
      <c r="L498" s="16"/>
      <c r="M498" s="16"/>
      <c r="N498" s="16"/>
      <c r="O498" s="16"/>
      <c r="S498" s="11"/>
      <c r="T498" s="11"/>
      <c r="U498" s="11"/>
      <c r="Y498" s="27"/>
      <c r="Z498" s="11"/>
      <c r="AE498" s="11"/>
      <c r="AH498" s="28"/>
      <c r="AI498" s="28"/>
      <c r="AJ498" s="12"/>
      <c r="AK498" s="29"/>
      <c r="AL498" s="12"/>
    </row>
    <row r="499" spans="9:38" x14ac:dyDescent="0.25">
      <c r="I499" s="15"/>
      <c r="K499" s="16"/>
      <c r="L499" s="16"/>
      <c r="M499" s="16"/>
      <c r="N499" s="16"/>
      <c r="O499" s="16"/>
      <c r="S499" s="11"/>
      <c r="T499" s="11"/>
      <c r="U499" s="11"/>
      <c r="Y499" s="27"/>
      <c r="Z499" s="11"/>
      <c r="AE499" s="11"/>
      <c r="AH499" s="28"/>
      <c r="AI499" s="28"/>
      <c r="AJ499" s="12"/>
      <c r="AK499" s="29"/>
      <c r="AL499" s="12"/>
    </row>
    <row r="500" spans="9:38" x14ac:dyDescent="0.25">
      <c r="I500" s="15"/>
      <c r="K500" s="16"/>
      <c r="L500" s="16"/>
      <c r="M500" s="16"/>
      <c r="N500" s="16"/>
      <c r="O500" s="16"/>
      <c r="S500" s="11"/>
      <c r="T500" s="11"/>
      <c r="U500" s="11"/>
      <c r="Y500" s="27"/>
      <c r="Z500" s="11"/>
      <c r="AE500" s="11"/>
      <c r="AH500" s="28"/>
      <c r="AI500" s="28"/>
      <c r="AJ500" s="12"/>
      <c r="AK500" s="29"/>
      <c r="AL500" s="12"/>
    </row>
    <row r="501" spans="9:38" x14ac:dyDescent="0.25">
      <c r="I501" s="15"/>
      <c r="K501" s="16"/>
      <c r="L501" s="16"/>
      <c r="M501" s="16"/>
      <c r="N501" s="16"/>
      <c r="O501" s="16"/>
      <c r="S501" s="11"/>
      <c r="T501" s="11"/>
      <c r="U501" s="11"/>
      <c r="Y501" s="27"/>
      <c r="Z501" s="11"/>
      <c r="AE501" s="11"/>
      <c r="AH501" s="28"/>
      <c r="AI501" s="28"/>
      <c r="AJ501" s="12"/>
      <c r="AK501" s="29"/>
      <c r="AL501" s="12"/>
    </row>
    <row r="502" spans="9:38" x14ac:dyDescent="0.25">
      <c r="I502" s="15"/>
      <c r="K502" s="16"/>
      <c r="L502" s="16"/>
      <c r="M502" s="16"/>
      <c r="N502" s="16"/>
      <c r="O502" s="16"/>
      <c r="S502" s="11"/>
      <c r="T502" s="11"/>
      <c r="U502" s="11"/>
      <c r="Y502" s="27"/>
      <c r="Z502" s="11"/>
      <c r="AE502" s="11"/>
      <c r="AH502" s="28"/>
      <c r="AI502" s="28"/>
      <c r="AJ502" s="12"/>
      <c r="AK502" s="29"/>
      <c r="AL502" s="12"/>
    </row>
    <row r="503" spans="9:38" x14ac:dyDescent="0.25">
      <c r="I503" s="15"/>
      <c r="K503" s="16"/>
      <c r="L503" s="16"/>
      <c r="M503" s="16"/>
      <c r="N503" s="16"/>
      <c r="O503" s="16"/>
      <c r="S503" s="11"/>
      <c r="T503" s="11"/>
      <c r="U503" s="11"/>
      <c r="Y503" s="27"/>
      <c r="Z503" s="11"/>
      <c r="AE503" s="11"/>
      <c r="AH503" s="28"/>
      <c r="AI503" s="28"/>
      <c r="AJ503" s="12"/>
      <c r="AK503" s="29"/>
      <c r="AL503" s="12"/>
    </row>
    <row r="504" spans="9:38" x14ac:dyDescent="0.25">
      <c r="I504" s="15"/>
      <c r="K504" s="16"/>
      <c r="L504" s="16"/>
      <c r="M504" s="16"/>
      <c r="N504" s="16"/>
      <c r="O504" s="16"/>
      <c r="S504" s="11"/>
      <c r="T504" s="11"/>
      <c r="U504" s="11"/>
      <c r="Y504" s="27"/>
      <c r="Z504" s="11"/>
      <c r="AE504" s="11"/>
      <c r="AH504" s="28"/>
      <c r="AI504" s="28"/>
      <c r="AJ504" s="12"/>
      <c r="AK504" s="29"/>
      <c r="AL504" s="12"/>
    </row>
    <row r="505" spans="9:38" x14ac:dyDescent="0.25">
      <c r="I505" s="15"/>
      <c r="K505" s="16"/>
      <c r="L505" s="16"/>
      <c r="M505" s="16"/>
      <c r="N505" s="16"/>
      <c r="O505" s="16"/>
      <c r="S505" s="11"/>
      <c r="T505" s="11"/>
      <c r="U505" s="11"/>
      <c r="Y505" s="27"/>
      <c r="Z505" s="11"/>
      <c r="AE505" s="11"/>
      <c r="AH505" s="28"/>
      <c r="AI505" s="28"/>
      <c r="AJ505" s="12"/>
      <c r="AK505" s="29"/>
      <c r="AL505" s="12"/>
    </row>
    <row r="506" spans="9:38" x14ac:dyDescent="0.25">
      <c r="I506" s="15"/>
      <c r="K506" s="16"/>
      <c r="L506" s="16"/>
      <c r="M506" s="16"/>
      <c r="N506" s="16"/>
      <c r="O506" s="16"/>
      <c r="S506" s="11"/>
      <c r="T506" s="11"/>
      <c r="U506" s="11"/>
      <c r="Y506" s="27"/>
      <c r="Z506" s="11"/>
      <c r="AE506" s="11"/>
      <c r="AH506" s="28"/>
      <c r="AI506" s="28"/>
      <c r="AJ506" s="12"/>
      <c r="AK506" s="29"/>
      <c r="AL506" s="12"/>
    </row>
    <row r="507" spans="9:38" x14ac:dyDescent="0.25">
      <c r="I507" s="15"/>
      <c r="K507" s="16"/>
      <c r="L507" s="16"/>
      <c r="M507" s="16"/>
      <c r="N507" s="16"/>
      <c r="O507" s="16"/>
      <c r="S507" s="11"/>
      <c r="T507" s="11"/>
      <c r="U507" s="11"/>
      <c r="Y507" s="27"/>
      <c r="Z507" s="11"/>
      <c r="AE507" s="11"/>
      <c r="AH507" s="28"/>
      <c r="AI507" s="28"/>
      <c r="AJ507" s="12"/>
      <c r="AK507" s="29"/>
      <c r="AL507" s="12"/>
    </row>
    <row r="508" spans="9:38" x14ac:dyDescent="0.25">
      <c r="I508" s="15"/>
      <c r="K508" s="16"/>
      <c r="L508" s="16"/>
      <c r="M508" s="16"/>
      <c r="N508" s="16"/>
      <c r="O508" s="16"/>
      <c r="S508" s="11"/>
      <c r="T508" s="11"/>
      <c r="U508" s="11"/>
      <c r="Y508" s="27"/>
      <c r="Z508" s="11"/>
      <c r="AE508" s="11"/>
      <c r="AH508" s="28"/>
      <c r="AI508" s="28"/>
      <c r="AJ508" s="12"/>
      <c r="AK508" s="29"/>
      <c r="AL508" s="12"/>
    </row>
    <row r="509" spans="9:38" x14ac:dyDescent="0.25">
      <c r="I509" s="15"/>
      <c r="K509" s="16"/>
      <c r="L509" s="16"/>
      <c r="M509" s="16"/>
      <c r="N509" s="16"/>
      <c r="O509" s="16"/>
      <c r="S509" s="11"/>
      <c r="T509" s="11"/>
      <c r="U509" s="11"/>
      <c r="Y509" s="27"/>
      <c r="Z509" s="11"/>
      <c r="AE509" s="11"/>
      <c r="AH509" s="28"/>
      <c r="AI509" s="28"/>
      <c r="AJ509" s="12"/>
      <c r="AK509" s="29"/>
      <c r="AL509" s="12"/>
    </row>
    <row r="510" spans="9:38" x14ac:dyDescent="0.25">
      <c r="I510" s="15"/>
      <c r="K510" s="16"/>
      <c r="L510" s="16"/>
      <c r="M510" s="16"/>
      <c r="N510" s="16"/>
      <c r="O510" s="16"/>
      <c r="S510" s="11"/>
      <c r="T510" s="11"/>
      <c r="U510" s="11"/>
      <c r="Y510" s="27"/>
      <c r="Z510" s="11"/>
      <c r="AE510" s="11"/>
      <c r="AH510" s="28"/>
      <c r="AI510" s="28"/>
      <c r="AJ510" s="12"/>
      <c r="AK510" s="29"/>
      <c r="AL510" s="12"/>
    </row>
    <row r="511" spans="9:38" x14ac:dyDescent="0.25">
      <c r="I511" s="15"/>
      <c r="K511" s="16"/>
      <c r="L511" s="16"/>
      <c r="M511" s="16"/>
      <c r="N511" s="16"/>
      <c r="O511" s="16"/>
      <c r="S511" s="11"/>
      <c r="T511" s="11"/>
      <c r="U511" s="11"/>
      <c r="Y511" s="27"/>
      <c r="Z511" s="11"/>
      <c r="AE511" s="11"/>
      <c r="AH511" s="28"/>
      <c r="AI511" s="28"/>
      <c r="AJ511" s="12"/>
      <c r="AK511" s="29"/>
      <c r="AL511" s="12"/>
    </row>
    <row r="512" spans="9:38" x14ac:dyDescent="0.25">
      <c r="I512" s="15"/>
      <c r="K512" s="16"/>
      <c r="L512" s="16"/>
      <c r="M512" s="16"/>
      <c r="N512" s="16"/>
      <c r="O512" s="16"/>
      <c r="S512" s="11"/>
      <c r="T512" s="11"/>
      <c r="U512" s="11"/>
      <c r="Y512" s="27"/>
      <c r="Z512" s="11"/>
      <c r="AE512" s="11"/>
      <c r="AH512" s="28"/>
      <c r="AI512" s="28"/>
      <c r="AJ512" s="12"/>
      <c r="AK512" s="29"/>
      <c r="AL512" s="12"/>
    </row>
    <row r="513" spans="9:38" x14ac:dyDescent="0.25">
      <c r="I513" s="15"/>
      <c r="K513" s="16"/>
      <c r="L513" s="16"/>
      <c r="M513" s="16"/>
      <c r="N513" s="16"/>
      <c r="O513" s="16"/>
      <c r="S513" s="11"/>
      <c r="T513" s="11"/>
      <c r="U513" s="11"/>
      <c r="Y513" s="27"/>
      <c r="Z513" s="11"/>
      <c r="AE513" s="11"/>
      <c r="AH513" s="28"/>
      <c r="AI513" s="28"/>
      <c r="AJ513" s="12"/>
      <c r="AK513" s="29"/>
      <c r="AL513" s="12"/>
    </row>
    <row r="514" spans="9:38" x14ac:dyDescent="0.25">
      <c r="I514" s="15"/>
      <c r="K514" s="16"/>
      <c r="L514" s="16"/>
      <c r="M514" s="16"/>
      <c r="N514" s="16"/>
      <c r="O514" s="16"/>
      <c r="S514" s="11"/>
      <c r="T514" s="11"/>
      <c r="U514" s="11"/>
      <c r="Y514" s="27"/>
      <c r="Z514" s="11"/>
      <c r="AE514" s="11"/>
      <c r="AH514" s="28"/>
      <c r="AI514" s="28"/>
      <c r="AJ514" s="12"/>
      <c r="AK514" s="29"/>
      <c r="AL514" s="12"/>
    </row>
    <row r="515" spans="9:38" x14ac:dyDescent="0.25">
      <c r="I515" s="15"/>
      <c r="K515" s="16"/>
      <c r="L515" s="16"/>
      <c r="M515" s="16"/>
      <c r="N515" s="16"/>
      <c r="O515" s="16"/>
      <c r="S515" s="11"/>
      <c r="T515" s="11"/>
      <c r="U515" s="11"/>
      <c r="Y515" s="27"/>
      <c r="Z515" s="11"/>
      <c r="AE515" s="11"/>
      <c r="AH515" s="28"/>
      <c r="AI515" s="28"/>
      <c r="AJ515" s="12"/>
      <c r="AK515" s="29"/>
      <c r="AL515" s="12"/>
    </row>
    <row r="516" spans="9:38" x14ac:dyDescent="0.25">
      <c r="I516" s="15"/>
      <c r="K516" s="16"/>
      <c r="L516" s="16"/>
      <c r="M516" s="16"/>
      <c r="N516" s="16"/>
      <c r="O516" s="16"/>
      <c r="S516" s="11"/>
      <c r="T516" s="11"/>
      <c r="U516" s="11"/>
      <c r="Y516" s="27"/>
      <c r="Z516" s="11"/>
      <c r="AE516" s="11"/>
      <c r="AH516" s="28"/>
      <c r="AI516" s="28"/>
      <c r="AJ516" s="12"/>
      <c r="AK516" s="29"/>
      <c r="AL516" s="12"/>
    </row>
    <row r="517" spans="9:38" x14ac:dyDescent="0.25">
      <c r="I517" s="15"/>
      <c r="K517" s="16"/>
      <c r="L517" s="16"/>
      <c r="M517" s="16"/>
      <c r="N517" s="16"/>
      <c r="O517" s="16"/>
      <c r="S517" s="11"/>
      <c r="T517" s="11"/>
      <c r="U517" s="11"/>
      <c r="Y517" s="27"/>
      <c r="Z517" s="11"/>
      <c r="AE517" s="11"/>
      <c r="AH517" s="28"/>
      <c r="AI517" s="28"/>
      <c r="AJ517" s="12"/>
      <c r="AK517" s="29"/>
      <c r="AL517" s="12"/>
    </row>
    <row r="518" spans="9:38" x14ac:dyDescent="0.25">
      <c r="I518" s="15"/>
      <c r="K518" s="16"/>
      <c r="L518" s="16"/>
      <c r="M518" s="16"/>
      <c r="N518" s="16"/>
      <c r="O518" s="16"/>
      <c r="S518" s="11"/>
      <c r="T518" s="11"/>
      <c r="U518" s="11"/>
      <c r="Y518" s="27"/>
      <c r="Z518" s="11"/>
      <c r="AE518" s="11"/>
      <c r="AH518" s="28"/>
      <c r="AI518" s="28"/>
      <c r="AJ518" s="12"/>
      <c r="AK518" s="29"/>
      <c r="AL518" s="12"/>
    </row>
    <row r="519" spans="9:38" x14ac:dyDescent="0.25">
      <c r="I519" s="15"/>
      <c r="K519" s="16"/>
      <c r="L519" s="16"/>
      <c r="M519" s="16"/>
      <c r="N519" s="16"/>
      <c r="O519" s="16"/>
      <c r="S519" s="11"/>
      <c r="T519" s="11"/>
      <c r="U519" s="11"/>
      <c r="Y519" s="27"/>
      <c r="Z519" s="11"/>
      <c r="AE519" s="11"/>
      <c r="AH519" s="28"/>
      <c r="AI519" s="28"/>
      <c r="AJ519" s="12"/>
      <c r="AK519" s="29"/>
      <c r="AL519" s="12"/>
    </row>
    <row r="520" spans="9:38" x14ac:dyDescent="0.25">
      <c r="I520" s="15"/>
      <c r="K520" s="16"/>
      <c r="L520" s="16"/>
      <c r="M520" s="16"/>
      <c r="N520" s="16"/>
      <c r="O520" s="16"/>
      <c r="S520" s="11"/>
      <c r="T520" s="11"/>
      <c r="U520" s="11"/>
      <c r="Y520" s="27"/>
      <c r="Z520" s="11"/>
      <c r="AE520" s="11"/>
      <c r="AH520" s="28"/>
      <c r="AI520" s="28"/>
      <c r="AJ520" s="12"/>
      <c r="AK520" s="29"/>
      <c r="AL520" s="12"/>
    </row>
    <row r="521" spans="9:38" x14ac:dyDescent="0.25">
      <c r="I521" s="15"/>
      <c r="K521" s="16"/>
      <c r="L521" s="16"/>
      <c r="M521" s="16"/>
      <c r="N521" s="16"/>
      <c r="O521" s="16"/>
      <c r="S521" s="11"/>
      <c r="T521" s="11"/>
      <c r="U521" s="11"/>
      <c r="Y521" s="27"/>
      <c r="Z521" s="11"/>
      <c r="AE521" s="11"/>
      <c r="AH521" s="28"/>
      <c r="AI521" s="28"/>
      <c r="AJ521" s="12"/>
      <c r="AK521" s="29"/>
      <c r="AL521" s="12"/>
    </row>
    <row r="522" spans="9:38" x14ac:dyDescent="0.25">
      <c r="I522" s="15"/>
      <c r="K522" s="16"/>
      <c r="L522" s="16"/>
      <c r="M522" s="16"/>
      <c r="N522" s="16"/>
      <c r="O522" s="16"/>
      <c r="S522" s="11"/>
      <c r="T522" s="11"/>
      <c r="U522" s="11"/>
      <c r="Y522" s="27"/>
      <c r="Z522" s="11"/>
      <c r="AE522" s="11"/>
      <c r="AH522" s="28"/>
      <c r="AI522" s="28"/>
      <c r="AJ522" s="12"/>
      <c r="AK522" s="29"/>
      <c r="AL522" s="12"/>
    </row>
    <row r="523" spans="9:38" x14ac:dyDescent="0.25">
      <c r="I523" s="15"/>
      <c r="K523" s="16"/>
      <c r="L523" s="16"/>
      <c r="M523" s="16"/>
      <c r="N523" s="16"/>
      <c r="O523" s="16"/>
      <c r="S523" s="11"/>
      <c r="T523" s="11"/>
      <c r="U523" s="11"/>
      <c r="Y523" s="27"/>
      <c r="Z523" s="11"/>
      <c r="AE523" s="11"/>
      <c r="AH523" s="28"/>
      <c r="AI523" s="28"/>
      <c r="AJ523" s="12"/>
      <c r="AK523" s="29"/>
      <c r="AL523" s="12"/>
    </row>
    <row r="524" spans="9:38" x14ac:dyDescent="0.25">
      <c r="I524" s="15"/>
      <c r="K524" s="16"/>
      <c r="L524" s="16"/>
      <c r="M524" s="16"/>
      <c r="N524" s="16"/>
      <c r="O524" s="16"/>
      <c r="S524" s="11"/>
      <c r="T524" s="11"/>
      <c r="U524" s="11"/>
      <c r="Y524" s="27"/>
      <c r="Z524" s="11"/>
      <c r="AE524" s="11"/>
      <c r="AH524" s="28"/>
      <c r="AI524" s="28"/>
      <c r="AJ524" s="12"/>
      <c r="AK524" s="29"/>
      <c r="AL524" s="12"/>
    </row>
    <row r="525" spans="9:38" x14ac:dyDescent="0.25">
      <c r="I525" s="15"/>
      <c r="K525" s="16"/>
      <c r="L525" s="16"/>
      <c r="M525" s="16"/>
      <c r="N525" s="16"/>
      <c r="O525" s="16"/>
      <c r="S525" s="11"/>
      <c r="T525" s="11"/>
      <c r="U525" s="11"/>
      <c r="Y525" s="27"/>
      <c r="Z525" s="11"/>
      <c r="AE525" s="11"/>
      <c r="AH525" s="28"/>
      <c r="AI525" s="28"/>
      <c r="AJ525" s="12"/>
      <c r="AK525" s="29"/>
      <c r="AL525" s="12"/>
    </row>
    <row r="526" spans="9:38" x14ac:dyDescent="0.25">
      <c r="I526" s="15"/>
      <c r="K526" s="16"/>
      <c r="L526" s="16"/>
      <c r="M526" s="16"/>
      <c r="N526" s="16"/>
      <c r="O526" s="16"/>
      <c r="S526" s="11"/>
      <c r="T526" s="11"/>
      <c r="U526" s="11"/>
      <c r="Y526" s="27"/>
      <c r="Z526" s="11"/>
      <c r="AE526" s="11"/>
      <c r="AH526" s="28"/>
      <c r="AI526" s="28"/>
      <c r="AJ526" s="12"/>
      <c r="AK526" s="29"/>
      <c r="AL526" s="12"/>
    </row>
    <row r="527" spans="9:38" x14ac:dyDescent="0.25">
      <c r="I527" s="15"/>
      <c r="K527" s="16"/>
      <c r="L527" s="16"/>
      <c r="M527" s="16"/>
      <c r="N527" s="16"/>
      <c r="O527" s="16"/>
      <c r="S527" s="11"/>
      <c r="T527" s="11"/>
      <c r="U527" s="11"/>
      <c r="Y527" s="27"/>
      <c r="Z527" s="11"/>
      <c r="AE527" s="11"/>
      <c r="AH527" s="28"/>
      <c r="AI527" s="28"/>
      <c r="AJ527" s="12"/>
      <c r="AK527" s="29"/>
      <c r="AL527" s="12"/>
    </row>
    <row r="528" spans="9:38" x14ac:dyDescent="0.25">
      <c r="I528" s="15"/>
      <c r="K528" s="16"/>
      <c r="L528" s="16"/>
      <c r="M528" s="16"/>
      <c r="N528" s="16"/>
      <c r="O528" s="16"/>
      <c r="S528" s="11"/>
      <c r="T528" s="11"/>
      <c r="U528" s="11"/>
      <c r="Y528" s="27"/>
      <c r="Z528" s="11"/>
      <c r="AE528" s="11"/>
      <c r="AH528" s="28"/>
      <c r="AI528" s="28"/>
      <c r="AJ528" s="12"/>
      <c r="AK528" s="29"/>
      <c r="AL528" s="12"/>
    </row>
    <row r="529" spans="9:38" x14ac:dyDescent="0.25">
      <c r="I529" s="15"/>
      <c r="K529" s="16"/>
      <c r="L529" s="16"/>
      <c r="M529" s="16"/>
      <c r="N529" s="16"/>
      <c r="O529" s="16"/>
      <c r="S529" s="11"/>
      <c r="T529" s="11"/>
      <c r="U529" s="11"/>
      <c r="Y529" s="27"/>
      <c r="Z529" s="11"/>
      <c r="AE529" s="11"/>
      <c r="AH529" s="28"/>
      <c r="AI529" s="28"/>
      <c r="AJ529" s="12"/>
      <c r="AK529" s="29"/>
      <c r="AL529" s="12"/>
    </row>
    <row r="530" spans="9:38" x14ac:dyDescent="0.25">
      <c r="I530" s="15"/>
      <c r="K530" s="16"/>
      <c r="L530" s="16"/>
      <c r="M530" s="16"/>
      <c r="N530" s="16"/>
      <c r="O530" s="16"/>
      <c r="S530" s="11"/>
      <c r="T530" s="11"/>
      <c r="U530" s="11"/>
      <c r="Y530" s="27"/>
      <c r="Z530" s="11"/>
      <c r="AE530" s="11"/>
      <c r="AH530" s="28"/>
      <c r="AI530" s="28"/>
      <c r="AJ530" s="12"/>
      <c r="AK530" s="29"/>
      <c r="AL530" s="12"/>
    </row>
    <row r="531" spans="9:38" x14ac:dyDescent="0.25">
      <c r="I531" s="15"/>
      <c r="K531" s="16"/>
      <c r="L531" s="16"/>
      <c r="M531" s="16"/>
      <c r="N531" s="16"/>
      <c r="O531" s="16"/>
      <c r="S531" s="11"/>
      <c r="T531" s="11"/>
      <c r="U531" s="11"/>
      <c r="Y531" s="27"/>
      <c r="Z531" s="11"/>
      <c r="AE531" s="11"/>
      <c r="AH531" s="28"/>
      <c r="AI531" s="28"/>
      <c r="AJ531" s="12"/>
      <c r="AK531" s="29"/>
      <c r="AL531" s="12"/>
    </row>
    <row r="532" spans="9:38" x14ac:dyDescent="0.25">
      <c r="I532" s="15"/>
      <c r="K532" s="16"/>
      <c r="L532" s="16"/>
      <c r="M532" s="16"/>
      <c r="N532" s="16"/>
      <c r="O532" s="16"/>
      <c r="S532" s="11"/>
      <c r="T532" s="11"/>
      <c r="U532" s="11"/>
      <c r="Y532" s="27"/>
      <c r="Z532" s="11"/>
      <c r="AE532" s="11"/>
      <c r="AH532" s="28"/>
      <c r="AI532" s="28"/>
      <c r="AJ532" s="12"/>
      <c r="AK532" s="29"/>
      <c r="AL532" s="12"/>
    </row>
    <row r="533" spans="9:38" x14ac:dyDescent="0.25">
      <c r="I533" s="15"/>
      <c r="K533" s="16"/>
      <c r="L533" s="16"/>
      <c r="M533" s="16"/>
      <c r="N533" s="16"/>
      <c r="O533" s="16"/>
      <c r="S533" s="11"/>
      <c r="T533" s="11"/>
      <c r="U533" s="11"/>
      <c r="Y533" s="27"/>
      <c r="Z533" s="11"/>
      <c r="AE533" s="11"/>
      <c r="AH533" s="28"/>
      <c r="AI533" s="28"/>
      <c r="AJ533" s="12"/>
      <c r="AK533" s="29"/>
      <c r="AL533" s="12"/>
    </row>
    <row r="534" spans="9:38" x14ac:dyDescent="0.25">
      <c r="I534" s="15"/>
      <c r="K534" s="16"/>
      <c r="L534" s="16"/>
      <c r="M534" s="16"/>
      <c r="N534" s="16"/>
      <c r="O534" s="16"/>
      <c r="S534" s="11"/>
      <c r="T534" s="11"/>
      <c r="U534" s="11"/>
      <c r="Y534" s="27"/>
      <c r="Z534" s="11"/>
      <c r="AE534" s="11"/>
      <c r="AH534" s="28"/>
      <c r="AI534" s="28"/>
      <c r="AJ534" s="12"/>
      <c r="AK534" s="29"/>
      <c r="AL534" s="12"/>
    </row>
    <row r="535" spans="9:38" x14ac:dyDescent="0.25">
      <c r="I535" s="15"/>
      <c r="K535" s="16"/>
      <c r="L535" s="16"/>
      <c r="M535" s="16"/>
      <c r="N535" s="16"/>
      <c r="O535" s="16"/>
      <c r="S535" s="11"/>
      <c r="T535" s="11"/>
      <c r="U535" s="11"/>
      <c r="Y535" s="27"/>
      <c r="Z535" s="11"/>
      <c r="AE535" s="11"/>
      <c r="AH535" s="28"/>
      <c r="AI535" s="28"/>
      <c r="AJ535" s="12"/>
      <c r="AK535" s="29"/>
      <c r="AL535" s="12"/>
    </row>
    <row r="536" spans="9:38" x14ac:dyDescent="0.25">
      <c r="I536" s="15"/>
      <c r="K536" s="16"/>
      <c r="L536" s="16"/>
      <c r="M536" s="16"/>
      <c r="N536" s="16"/>
      <c r="O536" s="16"/>
      <c r="S536" s="11"/>
      <c r="T536" s="11"/>
      <c r="U536" s="11"/>
      <c r="Y536" s="27"/>
      <c r="Z536" s="11"/>
      <c r="AE536" s="11"/>
      <c r="AH536" s="28"/>
      <c r="AI536" s="28"/>
      <c r="AJ536" s="12"/>
      <c r="AK536" s="29"/>
      <c r="AL536" s="12"/>
    </row>
    <row r="537" spans="9:38" x14ac:dyDescent="0.25">
      <c r="I537" s="15"/>
      <c r="K537" s="16"/>
      <c r="L537" s="16"/>
      <c r="M537" s="16"/>
      <c r="N537" s="16"/>
      <c r="O537" s="16"/>
      <c r="S537" s="11"/>
      <c r="T537" s="11"/>
      <c r="U537" s="11"/>
      <c r="Y537" s="27"/>
      <c r="Z537" s="11"/>
      <c r="AE537" s="11"/>
      <c r="AH537" s="28"/>
      <c r="AI537" s="28"/>
      <c r="AJ537" s="12"/>
      <c r="AK537" s="29"/>
      <c r="AL537" s="12"/>
    </row>
    <row r="538" spans="9:38" x14ac:dyDescent="0.25">
      <c r="I538" s="15"/>
      <c r="K538" s="16"/>
      <c r="L538" s="16"/>
      <c r="M538" s="16"/>
      <c r="N538" s="16"/>
      <c r="O538" s="16"/>
      <c r="S538" s="11"/>
      <c r="T538" s="11"/>
      <c r="U538" s="11"/>
      <c r="Y538" s="27"/>
      <c r="Z538" s="11"/>
      <c r="AE538" s="11"/>
      <c r="AH538" s="28"/>
      <c r="AI538" s="28"/>
      <c r="AJ538" s="12"/>
      <c r="AK538" s="29"/>
      <c r="AL538" s="12"/>
    </row>
    <row r="539" spans="9:38" x14ac:dyDescent="0.25">
      <c r="I539" s="15"/>
      <c r="K539" s="16"/>
      <c r="L539" s="16"/>
      <c r="M539" s="16"/>
      <c r="N539" s="16"/>
      <c r="O539" s="16"/>
      <c r="S539" s="11"/>
      <c r="T539" s="11"/>
      <c r="U539" s="11"/>
      <c r="Y539" s="27"/>
      <c r="Z539" s="11"/>
      <c r="AE539" s="11"/>
      <c r="AH539" s="28"/>
      <c r="AI539" s="28"/>
      <c r="AJ539" s="12"/>
      <c r="AK539" s="29"/>
      <c r="AL539" s="12"/>
    </row>
    <row r="540" spans="9:38" x14ac:dyDescent="0.25">
      <c r="I540" s="15"/>
      <c r="K540" s="16"/>
      <c r="L540" s="16"/>
      <c r="M540" s="16"/>
      <c r="N540" s="16"/>
      <c r="O540" s="16"/>
      <c r="S540" s="11"/>
      <c r="T540" s="11"/>
      <c r="U540" s="11"/>
      <c r="Y540" s="27"/>
      <c r="Z540" s="11"/>
      <c r="AE540" s="11"/>
      <c r="AH540" s="28"/>
      <c r="AI540" s="28"/>
      <c r="AJ540" s="12"/>
      <c r="AK540" s="29"/>
      <c r="AL540" s="12"/>
    </row>
    <row r="541" spans="9:38" x14ac:dyDescent="0.25">
      <c r="I541" s="15"/>
      <c r="K541" s="16"/>
      <c r="L541" s="16"/>
      <c r="M541" s="16"/>
      <c r="N541" s="16"/>
      <c r="O541" s="16"/>
      <c r="S541" s="11"/>
      <c r="T541" s="11"/>
      <c r="U541" s="11"/>
      <c r="Y541" s="27"/>
      <c r="Z541" s="11"/>
      <c r="AE541" s="11"/>
      <c r="AH541" s="28"/>
      <c r="AI541" s="28"/>
      <c r="AJ541" s="12"/>
      <c r="AK541" s="29"/>
      <c r="AL541" s="12"/>
    </row>
    <row r="542" spans="9:38" x14ac:dyDescent="0.25">
      <c r="I542" s="15"/>
      <c r="K542" s="16"/>
      <c r="L542" s="16"/>
      <c r="M542" s="16"/>
      <c r="N542" s="16"/>
      <c r="O542" s="16"/>
      <c r="S542" s="11"/>
      <c r="T542" s="11"/>
      <c r="U542" s="11"/>
      <c r="Y542" s="27"/>
      <c r="Z542" s="11"/>
      <c r="AE542" s="11"/>
      <c r="AH542" s="28"/>
      <c r="AI542" s="28"/>
      <c r="AJ542" s="12"/>
      <c r="AK542" s="29"/>
      <c r="AL542" s="12"/>
    </row>
    <row r="543" spans="9:38" x14ac:dyDescent="0.25">
      <c r="I543" s="15"/>
      <c r="K543" s="16"/>
      <c r="L543" s="16"/>
      <c r="M543" s="16"/>
      <c r="N543" s="16"/>
      <c r="O543" s="16"/>
      <c r="S543" s="11"/>
      <c r="T543" s="11"/>
      <c r="U543" s="11"/>
      <c r="Y543" s="27"/>
      <c r="Z543" s="11"/>
      <c r="AE543" s="11"/>
      <c r="AH543" s="28"/>
      <c r="AI543" s="28"/>
      <c r="AJ543" s="12"/>
      <c r="AK543" s="29"/>
      <c r="AL543" s="12"/>
    </row>
    <row r="544" spans="9:38" x14ac:dyDescent="0.25">
      <c r="I544" s="15"/>
      <c r="K544" s="16"/>
      <c r="L544" s="16"/>
      <c r="M544" s="16"/>
      <c r="N544" s="16"/>
      <c r="O544" s="16"/>
      <c r="S544" s="11"/>
      <c r="T544" s="11"/>
      <c r="U544" s="11"/>
      <c r="Y544" s="27"/>
      <c r="Z544" s="11"/>
      <c r="AE544" s="11"/>
      <c r="AH544" s="28"/>
      <c r="AI544" s="28"/>
      <c r="AJ544" s="12"/>
      <c r="AK544" s="29"/>
      <c r="AL544" s="12"/>
    </row>
    <row r="545" spans="9:38" x14ac:dyDescent="0.25">
      <c r="I545" s="15"/>
      <c r="K545" s="16"/>
      <c r="L545" s="16"/>
      <c r="M545" s="16"/>
      <c r="N545" s="16"/>
      <c r="O545" s="16"/>
      <c r="S545" s="11"/>
      <c r="T545" s="11"/>
      <c r="U545" s="11"/>
      <c r="Y545" s="27"/>
      <c r="Z545" s="11"/>
      <c r="AE545" s="11"/>
      <c r="AH545" s="28"/>
      <c r="AI545" s="28"/>
      <c r="AJ545" s="12"/>
      <c r="AK545" s="29"/>
      <c r="AL545" s="12"/>
    </row>
    <row r="546" spans="9:38" x14ac:dyDescent="0.25">
      <c r="I546" s="15"/>
      <c r="K546" s="16"/>
      <c r="L546" s="16"/>
      <c r="M546" s="16"/>
      <c r="N546" s="16"/>
      <c r="O546" s="16"/>
      <c r="S546" s="11"/>
      <c r="T546" s="11"/>
      <c r="U546" s="11"/>
      <c r="Y546" s="27"/>
      <c r="Z546" s="11"/>
      <c r="AE546" s="11"/>
      <c r="AH546" s="28"/>
      <c r="AI546" s="28"/>
      <c r="AJ546" s="12"/>
      <c r="AK546" s="29"/>
      <c r="AL546" s="12"/>
    </row>
    <row r="547" spans="9:38" x14ac:dyDescent="0.25">
      <c r="I547" s="15"/>
      <c r="K547" s="16"/>
      <c r="L547" s="16"/>
      <c r="M547" s="16"/>
      <c r="N547" s="16"/>
      <c r="O547" s="16"/>
      <c r="S547" s="11"/>
      <c r="T547" s="11"/>
      <c r="U547" s="11"/>
      <c r="Y547" s="27"/>
      <c r="Z547" s="11"/>
      <c r="AE547" s="11"/>
      <c r="AH547" s="28"/>
      <c r="AI547" s="28"/>
      <c r="AJ547" s="12"/>
      <c r="AK547" s="29"/>
      <c r="AL547" s="12"/>
    </row>
    <row r="548" spans="9:38" x14ac:dyDescent="0.25">
      <c r="I548" s="15"/>
      <c r="K548" s="16"/>
      <c r="L548" s="16"/>
      <c r="M548" s="16"/>
      <c r="N548" s="16"/>
      <c r="O548" s="16"/>
      <c r="S548" s="11"/>
      <c r="T548" s="11"/>
      <c r="U548" s="11"/>
      <c r="Y548" s="27"/>
      <c r="Z548" s="11"/>
      <c r="AE548" s="11"/>
      <c r="AH548" s="28"/>
      <c r="AI548" s="28"/>
      <c r="AJ548" s="12"/>
      <c r="AK548" s="29"/>
      <c r="AL548" s="12"/>
    </row>
    <row r="549" spans="9:38" x14ac:dyDescent="0.25">
      <c r="I549" s="15"/>
      <c r="K549" s="16"/>
      <c r="L549" s="16"/>
      <c r="M549" s="16"/>
      <c r="N549" s="16"/>
      <c r="O549" s="16"/>
      <c r="S549" s="11"/>
      <c r="T549" s="11"/>
      <c r="U549" s="11"/>
      <c r="Y549" s="27"/>
      <c r="Z549" s="11"/>
      <c r="AE549" s="11"/>
      <c r="AH549" s="28"/>
      <c r="AI549" s="28"/>
      <c r="AJ549" s="12"/>
      <c r="AK549" s="29"/>
      <c r="AL549" s="12"/>
    </row>
    <row r="550" spans="9:38" x14ac:dyDescent="0.25">
      <c r="I550" s="15"/>
      <c r="K550" s="16"/>
      <c r="L550" s="16"/>
      <c r="M550" s="16"/>
      <c r="N550" s="16"/>
      <c r="O550" s="16"/>
      <c r="S550" s="11"/>
      <c r="T550" s="11"/>
      <c r="U550" s="11"/>
      <c r="Y550" s="27"/>
      <c r="Z550" s="11"/>
      <c r="AE550" s="11"/>
      <c r="AH550" s="28"/>
      <c r="AI550" s="28"/>
      <c r="AJ550" s="12"/>
      <c r="AK550" s="29"/>
      <c r="AL550" s="12"/>
    </row>
    <row r="551" spans="9:38" x14ac:dyDescent="0.25">
      <c r="I551" s="15"/>
      <c r="K551" s="16"/>
      <c r="L551" s="16"/>
      <c r="M551" s="16"/>
      <c r="N551" s="16"/>
      <c r="O551" s="16"/>
      <c r="S551" s="11"/>
      <c r="T551" s="11"/>
      <c r="U551" s="11"/>
      <c r="Y551" s="27"/>
      <c r="Z551" s="11"/>
      <c r="AE551" s="11"/>
      <c r="AH551" s="28"/>
      <c r="AI551" s="28"/>
      <c r="AJ551" s="12"/>
      <c r="AK551" s="29"/>
      <c r="AL551" s="12"/>
    </row>
    <row r="552" spans="9:38" x14ac:dyDescent="0.25">
      <c r="I552" s="15"/>
      <c r="K552" s="16"/>
      <c r="L552" s="16"/>
      <c r="M552" s="16"/>
      <c r="N552" s="16"/>
      <c r="O552" s="16"/>
      <c r="S552" s="11"/>
      <c r="T552" s="11"/>
      <c r="U552" s="11"/>
      <c r="Y552" s="27"/>
      <c r="Z552" s="11"/>
      <c r="AE552" s="11"/>
      <c r="AH552" s="28"/>
      <c r="AI552" s="28"/>
      <c r="AJ552" s="12"/>
      <c r="AK552" s="29"/>
      <c r="AL552" s="12"/>
    </row>
    <row r="553" spans="9:38" x14ac:dyDescent="0.25">
      <c r="I553" s="15"/>
      <c r="K553" s="16"/>
      <c r="L553" s="16"/>
      <c r="M553" s="16"/>
      <c r="N553" s="16"/>
      <c r="O553" s="16"/>
      <c r="S553" s="11"/>
      <c r="T553" s="11"/>
      <c r="U553" s="11"/>
      <c r="Y553" s="27"/>
      <c r="Z553" s="11"/>
      <c r="AE553" s="11"/>
      <c r="AH553" s="28"/>
      <c r="AI553" s="28"/>
      <c r="AJ553" s="12"/>
      <c r="AK553" s="29"/>
      <c r="AL553" s="12"/>
    </row>
    <row r="554" spans="9:38" x14ac:dyDescent="0.25">
      <c r="I554" s="15"/>
      <c r="K554" s="16"/>
      <c r="L554" s="16"/>
      <c r="M554" s="16"/>
      <c r="N554" s="16"/>
      <c r="O554" s="16"/>
      <c r="S554" s="11"/>
      <c r="T554" s="11"/>
      <c r="U554" s="11"/>
      <c r="Y554" s="27"/>
      <c r="Z554" s="11"/>
      <c r="AE554" s="11"/>
      <c r="AH554" s="28"/>
      <c r="AI554" s="28"/>
      <c r="AJ554" s="12"/>
      <c r="AK554" s="29"/>
      <c r="AL554" s="12"/>
    </row>
    <row r="555" spans="9:38" x14ac:dyDescent="0.25">
      <c r="I555" s="15"/>
      <c r="K555" s="16"/>
      <c r="L555" s="16"/>
      <c r="M555" s="16"/>
      <c r="N555" s="16"/>
      <c r="O555" s="16"/>
      <c r="S555" s="11"/>
      <c r="T555" s="11"/>
      <c r="U555" s="11"/>
      <c r="Y555" s="27"/>
      <c r="Z555" s="11"/>
      <c r="AE555" s="11"/>
      <c r="AH555" s="28"/>
      <c r="AI555" s="28"/>
      <c r="AJ555" s="12"/>
      <c r="AK555" s="29"/>
      <c r="AL555" s="12"/>
    </row>
    <row r="556" spans="9:38" x14ac:dyDescent="0.25">
      <c r="I556" s="15"/>
      <c r="K556" s="16"/>
      <c r="L556" s="16"/>
      <c r="M556" s="16"/>
      <c r="N556" s="16"/>
      <c r="O556" s="16"/>
      <c r="S556" s="11"/>
      <c r="T556" s="11"/>
      <c r="U556" s="11"/>
      <c r="Y556" s="27"/>
      <c r="Z556" s="11"/>
      <c r="AE556" s="11"/>
      <c r="AH556" s="28"/>
      <c r="AI556" s="28"/>
      <c r="AJ556" s="12"/>
      <c r="AK556" s="29"/>
      <c r="AL556" s="12"/>
    </row>
    <row r="557" spans="9:38" x14ac:dyDescent="0.25">
      <c r="I557" s="15"/>
      <c r="K557" s="16"/>
      <c r="L557" s="16"/>
      <c r="M557" s="16"/>
      <c r="N557" s="16"/>
      <c r="O557" s="16"/>
      <c r="S557" s="11"/>
      <c r="T557" s="11"/>
      <c r="U557" s="11"/>
      <c r="Y557" s="27"/>
      <c r="Z557" s="11"/>
      <c r="AE557" s="11"/>
      <c r="AH557" s="28"/>
      <c r="AI557" s="28"/>
      <c r="AJ557" s="12"/>
      <c r="AK557" s="29"/>
      <c r="AL557" s="12"/>
    </row>
    <row r="558" spans="9:38" x14ac:dyDescent="0.25">
      <c r="I558" s="15"/>
      <c r="K558" s="16"/>
      <c r="L558" s="16"/>
      <c r="M558" s="16"/>
      <c r="N558" s="16"/>
      <c r="O558" s="16"/>
      <c r="S558" s="11"/>
      <c r="T558" s="11"/>
      <c r="U558" s="11"/>
      <c r="Y558" s="27"/>
      <c r="Z558" s="11"/>
      <c r="AE558" s="11"/>
      <c r="AH558" s="28"/>
      <c r="AI558" s="28"/>
      <c r="AJ558" s="12"/>
      <c r="AK558" s="29"/>
      <c r="AL558" s="12"/>
    </row>
    <row r="559" spans="9:38" x14ac:dyDescent="0.25">
      <c r="I559" s="15"/>
      <c r="K559" s="16"/>
      <c r="L559" s="16"/>
      <c r="M559" s="16"/>
      <c r="N559" s="16"/>
      <c r="O559" s="16"/>
      <c r="S559" s="11"/>
      <c r="T559" s="11"/>
      <c r="U559" s="11"/>
      <c r="Y559" s="27"/>
      <c r="Z559" s="11"/>
      <c r="AE559" s="11"/>
      <c r="AH559" s="28"/>
      <c r="AI559" s="28"/>
      <c r="AJ559" s="12"/>
      <c r="AK559" s="29"/>
      <c r="AL559" s="12"/>
    </row>
    <row r="560" spans="9:38" x14ac:dyDescent="0.25">
      <c r="I560" s="15"/>
      <c r="K560" s="16"/>
      <c r="L560" s="16"/>
      <c r="M560" s="16"/>
      <c r="N560" s="16"/>
      <c r="O560" s="16"/>
      <c r="S560" s="11"/>
      <c r="T560" s="11"/>
      <c r="U560" s="11"/>
      <c r="Y560" s="27"/>
      <c r="Z560" s="11"/>
      <c r="AE560" s="11"/>
      <c r="AH560" s="28"/>
      <c r="AI560" s="28"/>
      <c r="AJ560" s="12"/>
      <c r="AK560" s="29"/>
      <c r="AL560" s="12"/>
    </row>
    <row r="561" spans="9:38" x14ac:dyDescent="0.25">
      <c r="I561" s="15"/>
      <c r="K561" s="16"/>
      <c r="L561" s="16"/>
      <c r="M561" s="16"/>
      <c r="N561" s="16"/>
      <c r="O561" s="16"/>
      <c r="S561" s="11"/>
      <c r="T561" s="11"/>
      <c r="U561" s="11"/>
      <c r="Y561" s="27"/>
      <c r="Z561" s="11"/>
      <c r="AE561" s="11"/>
      <c r="AH561" s="28"/>
      <c r="AI561" s="28"/>
      <c r="AJ561" s="12"/>
      <c r="AK561" s="29"/>
      <c r="AL561" s="12"/>
    </row>
    <row r="562" spans="9:38" x14ac:dyDescent="0.25">
      <c r="I562" s="15"/>
      <c r="K562" s="16"/>
      <c r="L562" s="16"/>
      <c r="M562" s="16"/>
      <c r="N562" s="16"/>
      <c r="O562" s="16"/>
      <c r="S562" s="11"/>
      <c r="T562" s="11"/>
      <c r="U562" s="11"/>
      <c r="Y562" s="27"/>
      <c r="Z562" s="11"/>
      <c r="AE562" s="11"/>
      <c r="AH562" s="28"/>
      <c r="AI562" s="28"/>
      <c r="AJ562" s="12"/>
      <c r="AK562" s="29"/>
      <c r="AL562" s="12"/>
    </row>
    <row r="563" spans="9:38" x14ac:dyDescent="0.25">
      <c r="I563" s="15"/>
      <c r="K563" s="16"/>
      <c r="L563" s="16"/>
      <c r="M563" s="16"/>
      <c r="N563" s="16"/>
      <c r="O563" s="16"/>
      <c r="S563" s="11"/>
      <c r="T563" s="11"/>
      <c r="U563" s="11"/>
      <c r="Y563" s="27"/>
      <c r="Z563" s="11"/>
      <c r="AE563" s="11"/>
      <c r="AH563" s="28"/>
      <c r="AI563" s="28"/>
      <c r="AJ563" s="12"/>
      <c r="AK563" s="29"/>
      <c r="AL563" s="12"/>
    </row>
    <row r="564" spans="9:38" x14ac:dyDescent="0.25">
      <c r="I564" s="15"/>
      <c r="K564" s="16"/>
      <c r="L564" s="16"/>
      <c r="M564" s="16"/>
      <c r="N564" s="16"/>
      <c r="O564" s="16"/>
      <c r="S564" s="11"/>
      <c r="T564" s="11"/>
      <c r="U564" s="11"/>
      <c r="Y564" s="27"/>
      <c r="Z564" s="11"/>
      <c r="AE564" s="11"/>
      <c r="AH564" s="28"/>
      <c r="AI564" s="28"/>
      <c r="AJ564" s="12"/>
      <c r="AK564" s="29"/>
      <c r="AL564" s="12"/>
    </row>
    <row r="565" spans="9:38" x14ac:dyDescent="0.25">
      <c r="I565" s="15"/>
      <c r="K565" s="16"/>
      <c r="L565" s="16"/>
      <c r="M565" s="16"/>
      <c r="N565" s="16"/>
      <c r="O565" s="16"/>
      <c r="S565" s="11"/>
      <c r="T565" s="11"/>
      <c r="U565" s="11"/>
      <c r="Y565" s="27"/>
      <c r="Z565" s="11"/>
      <c r="AE565" s="11"/>
      <c r="AH565" s="28"/>
      <c r="AI565" s="28"/>
      <c r="AJ565" s="12"/>
      <c r="AK565" s="29"/>
      <c r="AL565" s="12"/>
    </row>
    <row r="566" spans="9:38" x14ac:dyDescent="0.25">
      <c r="I566" s="15"/>
      <c r="K566" s="16"/>
      <c r="L566" s="16"/>
      <c r="M566" s="16"/>
      <c r="N566" s="16"/>
      <c r="O566" s="16"/>
      <c r="S566" s="11"/>
      <c r="T566" s="11"/>
      <c r="U566" s="11"/>
      <c r="Y566" s="27"/>
      <c r="Z566" s="11"/>
      <c r="AE566" s="11"/>
      <c r="AH566" s="28"/>
      <c r="AI566" s="28"/>
      <c r="AJ566" s="12"/>
      <c r="AK566" s="29"/>
      <c r="AL566" s="12"/>
    </row>
    <row r="567" spans="9:38" x14ac:dyDescent="0.25">
      <c r="I567" s="15"/>
      <c r="K567" s="16"/>
      <c r="L567" s="16"/>
      <c r="M567" s="16"/>
      <c r="N567" s="16"/>
      <c r="O567" s="16"/>
      <c r="S567" s="11"/>
      <c r="T567" s="11"/>
      <c r="U567" s="11"/>
      <c r="Y567" s="27"/>
      <c r="Z567" s="11"/>
      <c r="AE567" s="11"/>
      <c r="AH567" s="28"/>
      <c r="AI567" s="28"/>
      <c r="AJ567" s="12"/>
      <c r="AK567" s="29"/>
      <c r="AL567" s="12"/>
    </row>
    <row r="568" spans="9:38" x14ac:dyDescent="0.25">
      <c r="I568" s="15"/>
      <c r="K568" s="16"/>
      <c r="L568" s="16"/>
      <c r="M568" s="16"/>
      <c r="N568" s="16"/>
      <c r="O568" s="16"/>
      <c r="S568" s="11"/>
      <c r="T568" s="11"/>
      <c r="U568" s="11"/>
      <c r="Y568" s="27"/>
      <c r="Z568" s="11"/>
      <c r="AE568" s="11"/>
      <c r="AH568" s="28"/>
      <c r="AI568" s="28"/>
      <c r="AJ568" s="12"/>
      <c r="AK568" s="29"/>
      <c r="AL568" s="12"/>
    </row>
    <row r="569" spans="9:38" x14ac:dyDescent="0.25">
      <c r="I569" s="15"/>
      <c r="K569" s="16"/>
      <c r="L569" s="16"/>
      <c r="M569" s="16"/>
      <c r="N569" s="16"/>
      <c r="O569" s="16"/>
      <c r="S569" s="11"/>
      <c r="T569" s="11"/>
      <c r="U569" s="11"/>
      <c r="Y569" s="27"/>
      <c r="Z569" s="11"/>
      <c r="AE569" s="11"/>
      <c r="AH569" s="28"/>
      <c r="AI569" s="28"/>
      <c r="AJ569" s="12"/>
      <c r="AK569" s="29"/>
      <c r="AL569" s="12"/>
    </row>
    <row r="570" spans="9:38" x14ac:dyDescent="0.25">
      <c r="I570" s="15"/>
      <c r="K570" s="16"/>
      <c r="L570" s="16"/>
      <c r="M570" s="16"/>
      <c r="N570" s="16"/>
      <c r="O570" s="16"/>
      <c r="S570" s="11"/>
      <c r="T570" s="11"/>
      <c r="U570" s="11"/>
      <c r="Y570" s="27"/>
      <c r="Z570" s="11"/>
      <c r="AE570" s="11"/>
      <c r="AH570" s="28"/>
      <c r="AI570" s="28"/>
      <c r="AJ570" s="12"/>
      <c r="AK570" s="29"/>
      <c r="AL570" s="12"/>
    </row>
    <row r="571" spans="9:38" x14ac:dyDescent="0.25">
      <c r="I571" s="15"/>
      <c r="K571" s="16"/>
      <c r="L571" s="16"/>
      <c r="M571" s="16"/>
      <c r="N571" s="16"/>
      <c r="O571" s="16"/>
      <c r="S571" s="11"/>
      <c r="T571" s="11"/>
      <c r="U571" s="11"/>
      <c r="Y571" s="27"/>
      <c r="Z571" s="11"/>
      <c r="AE571" s="11"/>
      <c r="AH571" s="28"/>
      <c r="AI571" s="28"/>
      <c r="AJ571" s="12"/>
      <c r="AK571" s="29"/>
      <c r="AL571" s="12"/>
    </row>
    <row r="572" spans="9:38" x14ac:dyDescent="0.25">
      <c r="I572" s="15"/>
      <c r="K572" s="16"/>
      <c r="L572" s="16"/>
      <c r="M572" s="16"/>
      <c r="N572" s="16"/>
      <c r="O572" s="16"/>
      <c r="S572" s="11"/>
      <c r="T572" s="11"/>
      <c r="U572" s="11"/>
      <c r="Y572" s="27"/>
      <c r="Z572" s="11"/>
      <c r="AE572" s="11"/>
      <c r="AH572" s="28"/>
      <c r="AI572" s="28"/>
      <c r="AJ572" s="12"/>
      <c r="AK572" s="29"/>
      <c r="AL572" s="12"/>
    </row>
    <row r="573" spans="9:38" x14ac:dyDescent="0.25">
      <c r="I573" s="15"/>
      <c r="K573" s="16"/>
      <c r="L573" s="16"/>
      <c r="M573" s="16"/>
      <c r="N573" s="16"/>
      <c r="O573" s="16"/>
      <c r="S573" s="11"/>
      <c r="T573" s="11"/>
      <c r="U573" s="11"/>
      <c r="Y573" s="27"/>
      <c r="Z573" s="11"/>
      <c r="AE573" s="11"/>
      <c r="AH573" s="28"/>
      <c r="AI573" s="28"/>
      <c r="AJ573" s="12"/>
      <c r="AK573" s="29"/>
      <c r="AL573" s="12"/>
    </row>
    <row r="574" spans="9:38" x14ac:dyDescent="0.25">
      <c r="I574" s="15"/>
      <c r="K574" s="16"/>
      <c r="L574" s="16"/>
      <c r="M574" s="16"/>
      <c r="N574" s="16"/>
      <c r="O574" s="16"/>
      <c r="S574" s="11"/>
      <c r="T574" s="11"/>
      <c r="U574" s="11"/>
      <c r="Y574" s="27"/>
      <c r="Z574" s="11"/>
      <c r="AE574" s="11"/>
      <c r="AH574" s="28"/>
      <c r="AI574" s="28"/>
      <c r="AJ574" s="12"/>
      <c r="AK574" s="29"/>
      <c r="AL574" s="12"/>
    </row>
    <row r="575" spans="9:38" x14ac:dyDescent="0.25">
      <c r="I575" s="15"/>
      <c r="K575" s="16"/>
      <c r="L575" s="16"/>
      <c r="M575" s="16"/>
      <c r="N575" s="16"/>
      <c r="O575" s="16"/>
      <c r="S575" s="11"/>
      <c r="T575" s="11"/>
      <c r="U575" s="11"/>
      <c r="Y575" s="27"/>
      <c r="Z575" s="11"/>
      <c r="AE575" s="11"/>
      <c r="AH575" s="28"/>
      <c r="AI575" s="28"/>
      <c r="AJ575" s="12"/>
      <c r="AK575" s="29"/>
      <c r="AL575" s="12"/>
    </row>
    <row r="576" spans="9:38" x14ac:dyDescent="0.25">
      <c r="I576" s="15"/>
      <c r="K576" s="16"/>
      <c r="L576" s="16"/>
      <c r="M576" s="16"/>
      <c r="N576" s="16"/>
      <c r="O576" s="16"/>
      <c r="S576" s="11"/>
      <c r="T576" s="11"/>
      <c r="U576" s="11"/>
      <c r="Y576" s="27"/>
      <c r="Z576" s="11"/>
      <c r="AE576" s="11"/>
      <c r="AH576" s="28"/>
      <c r="AI576" s="28"/>
      <c r="AJ576" s="12"/>
      <c r="AK576" s="29"/>
      <c r="AL576" s="12"/>
    </row>
    <row r="577" spans="9:38" x14ac:dyDescent="0.25">
      <c r="I577" s="15"/>
      <c r="K577" s="16"/>
      <c r="L577" s="16"/>
      <c r="M577" s="16"/>
      <c r="N577" s="16"/>
      <c r="O577" s="16"/>
      <c r="S577" s="11"/>
      <c r="T577" s="11"/>
      <c r="U577" s="11"/>
      <c r="Y577" s="27"/>
      <c r="Z577" s="11"/>
      <c r="AE577" s="11"/>
      <c r="AH577" s="28"/>
      <c r="AI577" s="28"/>
      <c r="AJ577" s="12"/>
      <c r="AK577" s="29"/>
      <c r="AL577" s="12"/>
    </row>
    <row r="578" spans="9:38" x14ac:dyDescent="0.25">
      <c r="I578" s="15"/>
      <c r="K578" s="16"/>
      <c r="L578" s="16"/>
      <c r="M578" s="16"/>
      <c r="N578" s="16"/>
      <c r="O578" s="16"/>
      <c r="S578" s="11"/>
      <c r="T578" s="11"/>
      <c r="U578" s="11"/>
      <c r="Y578" s="27"/>
      <c r="Z578" s="11"/>
      <c r="AE578" s="11"/>
      <c r="AH578" s="28"/>
      <c r="AI578" s="28"/>
      <c r="AJ578" s="12"/>
      <c r="AK578" s="29"/>
      <c r="AL578" s="12"/>
    </row>
    <row r="579" spans="9:38" x14ac:dyDescent="0.25">
      <c r="I579" s="15"/>
      <c r="K579" s="16"/>
      <c r="L579" s="16"/>
      <c r="M579" s="16"/>
      <c r="N579" s="16"/>
      <c r="O579" s="16"/>
      <c r="S579" s="11"/>
      <c r="T579" s="11"/>
      <c r="U579" s="11"/>
      <c r="Y579" s="27"/>
      <c r="Z579" s="11"/>
      <c r="AE579" s="11"/>
      <c r="AH579" s="28"/>
      <c r="AI579" s="28"/>
      <c r="AJ579" s="12"/>
      <c r="AK579" s="29"/>
      <c r="AL579" s="12"/>
    </row>
    <row r="580" spans="9:38" x14ac:dyDescent="0.25">
      <c r="I580" s="15"/>
      <c r="K580" s="16"/>
      <c r="L580" s="16"/>
      <c r="M580" s="16"/>
      <c r="N580" s="16"/>
      <c r="O580" s="16"/>
      <c r="S580" s="11"/>
      <c r="T580" s="11"/>
      <c r="U580" s="11"/>
      <c r="Y580" s="27"/>
      <c r="Z580" s="11"/>
      <c r="AE580" s="11"/>
      <c r="AH580" s="28"/>
      <c r="AI580" s="28"/>
      <c r="AJ580" s="12"/>
      <c r="AK580" s="29"/>
      <c r="AL580" s="12"/>
    </row>
    <row r="581" spans="9:38" x14ac:dyDescent="0.25">
      <c r="I581" s="15"/>
      <c r="K581" s="16"/>
      <c r="L581" s="16"/>
      <c r="M581" s="16"/>
      <c r="N581" s="16"/>
      <c r="O581" s="16"/>
      <c r="S581" s="11"/>
      <c r="T581" s="11"/>
      <c r="U581" s="11"/>
      <c r="Y581" s="27"/>
      <c r="Z581" s="11"/>
      <c r="AE581" s="11"/>
      <c r="AH581" s="28"/>
      <c r="AI581" s="28"/>
      <c r="AJ581" s="12"/>
      <c r="AK581" s="29"/>
      <c r="AL581" s="12"/>
    </row>
    <row r="582" spans="9:38" x14ac:dyDescent="0.25">
      <c r="I582" s="15"/>
      <c r="K582" s="16"/>
      <c r="L582" s="16"/>
      <c r="M582" s="16"/>
      <c r="N582" s="16"/>
      <c r="O582" s="16"/>
      <c r="S582" s="11"/>
      <c r="T582" s="11"/>
      <c r="U582" s="11"/>
      <c r="Y582" s="27"/>
      <c r="Z582" s="11"/>
      <c r="AE582" s="11"/>
      <c r="AH582" s="28"/>
      <c r="AI582" s="28"/>
      <c r="AJ582" s="12"/>
      <c r="AK582" s="29"/>
      <c r="AL582" s="12"/>
    </row>
    <row r="583" spans="9:38" x14ac:dyDescent="0.25">
      <c r="I583" s="15"/>
      <c r="K583" s="16"/>
      <c r="L583" s="16"/>
      <c r="M583" s="16"/>
      <c r="N583" s="16"/>
      <c r="O583" s="16"/>
      <c r="S583" s="11"/>
      <c r="T583" s="11"/>
      <c r="U583" s="11"/>
      <c r="Y583" s="27"/>
      <c r="Z583" s="11"/>
      <c r="AE583" s="11"/>
      <c r="AH583" s="28"/>
      <c r="AI583" s="28"/>
      <c r="AJ583" s="12"/>
      <c r="AK583" s="29"/>
      <c r="AL583" s="12"/>
    </row>
    <row r="584" spans="9:38" x14ac:dyDescent="0.25">
      <c r="I584" s="15"/>
      <c r="K584" s="16"/>
      <c r="L584" s="16"/>
      <c r="M584" s="16"/>
      <c r="N584" s="16"/>
      <c r="O584" s="16"/>
      <c r="S584" s="11"/>
      <c r="T584" s="11"/>
      <c r="U584" s="11"/>
      <c r="Y584" s="27"/>
      <c r="Z584" s="11"/>
      <c r="AE584" s="11"/>
      <c r="AH584" s="28"/>
      <c r="AI584" s="28"/>
      <c r="AJ584" s="12"/>
      <c r="AK584" s="29"/>
      <c r="AL584" s="12"/>
    </row>
    <row r="585" spans="9:38" x14ac:dyDescent="0.25">
      <c r="I585" s="15"/>
      <c r="K585" s="16"/>
      <c r="L585" s="16"/>
      <c r="M585" s="16"/>
      <c r="N585" s="16"/>
      <c r="O585" s="16"/>
      <c r="S585" s="11"/>
      <c r="T585" s="11"/>
      <c r="U585" s="11"/>
      <c r="Y585" s="27"/>
      <c r="Z585" s="11"/>
      <c r="AE585" s="11"/>
      <c r="AH585" s="28"/>
      <c r="AI585" s="28"/>
      <c r="AJ585" s="12"/>
      <c r="AK585" s="29"/>
      <c r="AL585" s="12"/>
    </row>
    <row r="586" spans="9:38" x14ac:dyDescent="0.25">
      <c r="I586" s="15"/>
      <c r="K586" s="16"/>
      <c r="L586" s="16"/>
      <c r="M586" s="16"/>
      <c r="N586" s="16"/>
      <c r="O586" s="16"/>
      <c r="S586" s="11"/>
      <c r="T586" s="11"/>
      <c r="U586" s="11"/>
      <c r="Y586" s="27"/>
      <c r="Z586" s="11"/>
      <c r="AE586" s="11"/>
      <c r="AH586" s="28"/>
      <c r="AI586" s="28"/>
      <c r="AJ586" s="12"/>
      <c r="AK586" s="29"/>
      <c r="AL586" s="12"/>
    </row>
    <row r="587" spans="9:38" x14ac:dyDescent="0.25">
      <c r="I587" s="15"/>
      <c r="K587" s="16"/>
      <c r="L587" s="16"/>
      <c r="M587" s="16"/>
      <c r="N587" s="16"/>
      <c r="O587" s="16"/>
      <c r="S587" s="11"/>
      <c r="T587" s="11"/>
      <c r="U587" s="11"/>
      <c r="Y587" s="27"/>
      <c r="Z587" s="11"/>
      <c r="AE587" s="11"/>
      <c r="AH587" s="28"/>
      <c r="AI587" s="28"/>
      <c r="AJ587" s="12"/>
      <c r="AK587" s="29"/>
      <c r="AL587" s="12"/>
    </row>
    <row r="588" spans="9:38" x14ac:dyDescent="0.25">
      <c r="I588" s="15"/>
      <c r="K588" s="16"/>
      <c r="L588" s="16"/>
      <c r="M588" s="16"/>
      <c r="N588" s="16"/>
      <c r="O588" s="16"/>
      <c r="S588" s="11"/>
      <c r="T588" s="11"/>
      <c r="U588" s="11"/>
      <c r="Y588" s="27"/>
      <c r="Z588" s="11"/>
      <c r="AE588" s="11"/>
      <c r="AH588" s="28"/>
      <c r="AI588" s="28"/>
      <c r="AJ588" s="12"/>
      <c r="AK588" s="29"/>
      <c r="AL588" s="12"/>
    </row>
    <row r="589" spans="9:38" x14ac:dyDescent="0.25">
      <c r="I589" s="15"/>
      <c r="K589" s="16"/>
      <c r="L589" s="16"/>
      <c r="M589" s="16"/>
      <c r="N589" s="16"/>
      <c r="O589" s="16"/>
      <c r="S589" s="11"/>
      <c r="T589" s="11"/>
      <c r="U589" s="11"/>
      <c r="Y589" s="27"/>
      <c r="Z589" s="11"/>
      <c r="AE589" s="11"/>
      <c r="AH589" s="28"/>
      <c r="AI589" s="28"/>
      <c r="AJ589" s="12"/>
      <c r="AK589" s="29"/>
      <c r="AL589" s="12"/>
    </row>
    <row r="590" spans="9:38" x14ac:dyDescent="0.25">
      <c r="I590" s="15"/>
      <c r="K590" s="16"/>
      <c r="L590" s="16"/>
      <c r="M590" s="16"/>
      <c r="N590" s="16"/>
      <c r="O590" s="16"/>
      <c r="S590" s="11"/>
      <c r="T590" s="11"/>
      <c r="U590" s="11"/>
      <c r="Y590" s="27"/>
      <c r="Z590" s="11"/>
      <c r="AE590" s="11"/>
      <c r="AH590" s="28"/>
      <c r="AI590" s="28"/>
      <c r="AJ590" s="12"/>
      <c r="AK590" s="29"/>
      <c r="AL590" s="12"/>
    </row>
    <row r="591" spans="9:38" x14ac:dyDescent="0.25">
      <c r="I591" s="15"/>
      <c r="K591" s="16"/>
      <c r="L591" s="16"/>
      <c r="M591" s="16"/>
      <c r="N591" s="16"/>
      <c r="O591" s="16"/>
      <c r="S591" s="11"/>
      <c r="T591" s="11"/>
      <c r="U591" s="11"/>
      <c r="Y591" s="27"/>
      <c r="Z591" s="11"/>
      <c r="AE591" s="11"/>
      <c r="AH591" s="28"/>
      <c r="AI591" s="28"/>
      <c r="AJ591" s="12"/>
      <c r="AK591" s="29"/>
      <c r="AL591" s="12"/>
    </row>
    <row r="592" spans="9:38" x14ac:dyDescent="0.25">
      <c r="I592" s="15"/>
      <c r="K592" s="16"/>
      <c r="L592" s="16"/>
      <c r="M592" s="16"/>
      <c r="N592" s="16"/>
      <c r="O592" s="16"/>
      <c r="S592" s="11"/>
      <c r="T592" s="11"/>
      <c r="U592" s="11"/>
      <c r="Y592" s="27"/>
      <c r="Z592" s="11"/>
      <c r="AE592" s="11"/>
      <c r="AH592" s="28"/>
      <c r="AI592" s="28"/>
      <c r="AJ592" s="12"/>
      <c r="AK592" s="29"/>
      <c r="AL592" s="12"/>
    </row>
    <row r="593" spans="9:38" x14ac:dyDescent="0.25">
      <c r="I593" s="15"/>
      <c r="K593" s="16"/>
      <c r="L593" s="16"/>
      <c r="M593" s="16"/>
      <c r="N593" s="16"/>
      <c r="O593" s="16"/>
      <c r="S593" s="11"/>
      <c r="T593" s="11"/>
      <c r="U593" s="11"/>
      <c r="Y593" s="27"/>
      <c r="Z593" s="11"/>
      <c r="AE593" s="11"/>
      <c r="AH593" s="28"/>
      <c r="AI593" s="28"/>
      <c r="AJ593" s="12"/>
      <c r="AK593" s="29"/>
      <c r="AL593" s="12"/>
    </row>
    <row r="594" spans="9:38" x14ac:dyDescent="0.25">
      <c r="I594" s="15"/>
      <c r="K594" s="16"/>
      <c r="L594" s="16"/>
      <c r="M594" s="16"/>
      <c r="N594" s="16"/>
      <c r="O594" s="16"/>
      <c r="S594" s="11"/>
      <c r="T594" s="11"/>
      <c r="U594" s="11"/>
      <c r="Y594" s="27"/>
      <c r="Z594" s="11"/>
      <c r="AE594" s="11"/>
      <c r="AH594" s="28"/>
      <c r="AI594" s="28"/>
      <c r="AJ594" s="12"/>
      <c r="AK594" s="29"/>
      <c r="AL594" s="12"/>
    </row>
    <row r="595" spans="9:38" x14ac:dyDescent="0.25">
      <c r="I595" s="15"/>
      <c r="K595" s="16"/>
      <c r="L595" s="16"/>
      <c r="M595" s="16"/>
      <c r="N595" s="16"/>
      <c r="O595" s="16"/>
      <c r="S595" s="11"/>
      <c r="T595" s="11"/>
      <c r="U595" s="11"/>
      <c r="Y595" s="27"/>
      <c r="Z595" s="11"/>
      <c r="AE595" s="11"/>
      <c r="AH595" s="28"/>
      <c r="AI595" s="28"/>
      <c r="AJ595" s="12"/>
      <c r="AK595" s="29"/>
      <c r="AL595" s="12"/>
    </row>
    <row r="596" spans="9:38" x14ac:dyDescent="0.25">
      <c r="I596" s="15"/>
      <c r="K596" s="16"/>
      <c r="L596" s="16"/>
      <c r="M596" s="16"/>
      <c r="N596" s="16"/>
      <c r="O596" s="16"/>
      <c r="S596" s="11"/>
      <c r="T596" s="11"/>
      <c r="U596" s="11"/>
      <c r="Y596" s="27"/>
      <c r="Z596" s="11"/>
      <c r="AE596" s="11"/>
      <c r="AH596" s="28"/>
      <c r="AI596" s="28"/>
      <c r="AJ596" s="12"/>
      <c r="AK596" s="29"/>
      <c r="AL596" s="12"/>
    </row>
    <row r="597" spans="9:38" x14ac:dyDescent="0.25">
      <c r="I597" s="15"/>
      <c r="K597" s="16"/>
      <c r="L597" s="16"/>
      <c r="M597" s="16"/>
      <c r="N597" s="16"/>
      <c r="O597" s="16"/>
      <c r="S597" s="11"/>
      <c r="T597" s="11"/>
      <c r="U597" s="11"/>
      <c r="Y597" s="27"/>
      <c r="Z597" s="11"/>
      <c r="AE597" s="11"/>
      <c r="AH597" s="28"/>
      <c r="AI597" s="28"/>
      <c r="AJ597" s="12"/>
      <c r="AK597" s="29"/>
      <c r="AL597" s="12"/>
    </row>
    <row r="598" spans="9:38" x14ac:dyDescent="0.25">
      <c r="I598" s="15"/>
      <c r="K598" s="16"/>
      <c r="L598" s="16"/>
      <c r="M598" s="16"/>
      <c r="N598" s="16"/>
      <c r="O598" s="16"/>
      <c r="S598" s="11"/>
      <c r="T598" s="11"/>
      <c r="U598" s="11"/>
      <c r="Y598" s="27"/>
      <c r="Z598" s="11"/>
      <c r="AE598" s="11"/>
      <c r="AH598" s="28"/>
      <c r="AI598" s="28"/>
      <c r="AJ598" s="12"/>
      <c r="AK598" s="29"/>
      <c r="AL598" s="12"/>
    </row>
    <row r="599" spans="9:38" x14ac:dyDescent="0.25">
      <c r="I599" s="15"/>
      <c r="K599" s="16"/>
      <c r="L599" s="16"/>
      <c r="M599" s="16"/>
      <c r="N599" s="16"/>
      <c r="O599" s="16"/>
      <c r="S599" s="11"/>
      <c r="T599" s="11"/>
      <c r="U599" s="11"/>
      <c r="Y599" s="27"/>
      <c r="Z599" s="11"/>
      <c r="AE599" s="11"/>
      <c r="AH599" s="28"/>
      <c r="AI599" s="28"/>
      <c r="AJ599" s="12"/>
      <c r="AK599" s="29"/>
      <c r="AL599" s="12"/>
    </row>
    <row r="600" spans="9:38" x14ac:dyDescent="0.25">
      <c r="I600" s="15"/>
      <c r="K600" s="16"/>
      <c r="L600" s="16"/>
      <c r="M600" s="16"/>
      <c r="N600" s="16"/>
      <c r="O600" s="16"/>
      <c r="S600" s="11"/>
      <c r="T600" s="11"/>
      <c r="U600" s="11"/>
      <c r="Y600" s="27"/>
      <c r="Z600" s="11"/>
      <c r="AE600" s="11"/>
      <c r="AH600" s="28"/>
      <c r="AI600" s="28"/>
      <c r="AJ600" s="12"/>
      <c r="AK600" s="29"/>
      <c r="AL600" s="12"/>
    </row>
    <row r="601" spans="9:38" x14ac:dyDescent="0.25">
      <c r="I601" s="15"/>
      <c r="K601" s="16"/>
      <c r="L601" s="16"/>
      <c r="M601" s="16"/>
      <c r="N601" s="16"/>
      <c r="O601" s="16"/>
      <c r="S601" s="11"/>
      <c r="T601" s="11"/>
      <c r="U601" s="11"/>
      <c r="Y601" s="27"/>
      <c r="Z601" s="11"/>
      <c r="AE601" s="11"/>
      <c r="AH601" s="28"/>
      <c r="AI601" s="28"/>
      <c r="AJ601" s="12"/>
      <c r="AK601" s="29"/>
      <c r="AL601" s="12"/>
    </row>
    <row r="602" spans="9:38" x14ac:dyDescent="0.25">
      <c r="I602" s="15"/>
      <c r="K602" s="16"/>
      <c r="L602" s="16"/>
      <c r="M602" s="16"/>
      <c r="N602" s="16"/>
      <c r="O602" s="16"/>
      <c r="S602" s="11"/>
      <c r="T602" s="11"/>
      <c r="U602" s="11"/>
      <c r="Y602" s="27"/>
      <c r="Z602" s="11"/>
      <c r="AE602" s="11"/>
      <c r="AH602" s="28"/>
      <c r="AI602" s="28"/>
      <c r="AJ602" s="12"/>
      <c r="AK602" s="29"/>
      <c r="AL602" s="12"/>
    </row>
    <row r="603" spans="9:38" x14ac:dyDescent="0.25">
      <c r="I603" s="15"/>
      <c r="K603" s="16"/>
      <c r="L603" s="16"/>
      <c r="M603" s="16"/>
      <c r="N603" s="16"/>
      <c r="O603" s="16"/>
      <c r="S603" s="11"/>
      <c r="T603" s="11"/>
      <c r="U603" s="11"/>
      <c r="Y603" s="27"/>
      <c r="Z603" s="11"/>
      <c r="AE603" s="11"/>
      <c r="AH603" s="28"/>
      <c r="AI603" s="28"/>
      <c r="AJ603" s="12"/>
      <c r="AK603" s="29"/>
      <c r="AL603" s="12"/>
    </row>
    <row r="604" spans="9:38" x14ac:dyDescent="0.25">
      <c r="I604" s="15"/>
      <c r="K604" s="16"/>
      <c r="L604" s="16"/>
      <c r="M604" s="16"/>
      <c r="N604" s="16"/>
      <c r="O604" s="16"/>
      <c r="S604" s="11"/>
      <c r="T604" s="11"/>
      <c r="U604" s="11"/>
      <c r="Y604" s="27"/>
      <c r="Z604" s="11"/>
      <c r="AE604" s="11"/>
      <c r="AH604" s="28"/>
      <c r="AI604" s="28"/>
      <c r="AJ604" s="12"/>
      <c r="AK604" s="29"/>
      <c r="AL604" s="12"/>
    </row>
    <row r="605" spans="9:38" x14ac:dyDescent="0.25">
      <c r="I605" s="15"/>
      <c r="K605" s="16"/>
      <c r="L605" s="16"/>
      <c r="M605" s="16"/>
      <c r="N605" s="16"/>
      <c r="O605" s="16"/>
      <c r="S605" s="11"/>
      <c r="T605" s="11"/>
      <c r="U605" s="11"/>
      <c r="Y605" s="27"/>
      <c r="Z605" s="11"/>
      <c r="AE605" s="11"/>
      <c r="AH605" s="28"/>
      <c r="AI605" s="28"/>
      <c r="AJ605" s="12"/>
      <c r="AK605" s="29"/>
      <c r="AL605" s="12"/>
    </row>
    <row r="606" spans="9:38" x14ac:dyDescent="0.25">
      <c r="I606" s="15"/>
      <c r="K606" s="16"/>
      <c r="L606" s="16"/>
      <c r="M606" s="16"/>
      <c r="N606" s="16"/>
      <c r="O606" s="16"/>
      <c r="S606" s="11"/>
      <c r="T606" s="11"/>
      <c r="U606" s="11"/>
      <c r="Y606" s="27"/>
      <c r="Z606" s="11"/>
      <c r="AE606" s="11"/>
      <c r="AH606" s="28"/>
      <c r="AI606" s="28"/>
      <c r="AJ606" s="12"/>
      <c r="AK606" s="29"/>
      <c r="AL606" s="12"/>
    </row>
    <row r="607" spans="9:38" x14ac:dyDescent="0.25">
      <c r="I607" s="15"/>
      <c r="K607" s="16"/>
      <c r="L607" s="16"/>
      <c r="M607" s="16"/>
      <c r="N607" s="16"/>
      <c r="O607" s="16"/>
      <c r="S607" s="11"/>
      <c r="T607" s="11"/>
      <c r="U607" s="11"/>
      <c r="Y607" s="27"/>
      <c r="Z607" s="11"/>
      <c r="AE607" s="11"/>
      <c r="AH607" s="28"/>
      <c r="AI607" s="28"/>
      <c r="AJ607" s="12"/>
      <c r="AK607" s="29"/>
      <c r="AL607" s="12"/>
    </row>
    <row r="608" spans="9:38" x14ac:dyDescent="0.25">
      <c r="I608" s="15"/>
      <c r="K608" s="16"/>
      <c r="L608" s="16"/>
      <c r="M608" s="16"/>
      <c r="N608" s="16"/>
      <c r="O608" s="16"/>
      <c r="S608" s="11"/>
      <c r="T608" s="11"/>
      <c r="U608" s="11"/>
      <c r="Y608" s="27"/>
      <c r="Z608" s="11"/>
      <c r="AE608" s="11"/>
      <c r="AH608" s="28"/>
      <c r="AI608" s="28"/>
      <c r="AJ608" s="12"/>
      <c r="AK608" s="29"/>
      <c r="AL608" s="12"/>
    </row>
    <row r="609" spans="9:38" x14ac:dyDescent="0.25">
      <c r="I609" s="15"/>
      <c r="K609" s="16"/>
      <c r="L609" s="16"/>
      <c r="M609" s="16"/>
      <c r="N609" s="16"/>
      <c r="O609" s="16"/>
      <c r="S609" s="11"/>
      <c r="T609" s="11"/>
      <c r="U609" s="11"/>
      <c r="Y609" s="27"/>
      <c r="Z609" s="11"/>
      <c r="AE609" s="11"/>
      <c r="AH609" s="28"/>
      <c r="AI609" s="28"/>
      <c r="AJ609" s="12"/>
      <c r="AK609" s="29"/>
      <c r="AL609" s="12"/>
    </row>
    <row r="610" spans="9:38" x14ac:dyDescent="0.25">
      <c r="I610" s="15"/>
      <c r="K610" s="16"/>
      <c r="L610" s="16"/>
      <c r="M610" s="16"/>
      <c r="N610" s="16"/>
      <c r="O610" s="16"/>
      <c r="S610" s="11"/>
      <c r="T610" s="11"/>
      <c r="U610" s="11"/>
      <c r="Y610" s="27"/>
      <c r="Z610" s="11"/>
      <c r="AE610" s="11"/>
      <c r="AH610" s="28"/>
      <c r="AI610" s="28"/>
      <c r="AJ610" s="12"/>
      <c r="AK610" s="29"/>
      <c r="AL610" s="12"/>
    </row>
    <row r="611" spans="9:38" x14ac:dyDescent="0.25">
      <c r="I611" s="15"/>
      <c r="K611" s="16"/>
      <c r="L611" s="16"/>
      <c r="M611" s="16"/>
      <c r="N611" s="16"/>
      <c r="O611" s="16"/>
      <c r="S611" s="11"/>
      <c r="T611" s="11"/>
      <c r="U611" s="11"/>
      <c r="Y611" s="27"/>
      <c r="Z611" s="11"/>
      <c r="AE611" s="11"/>
      <c r="AH611" s="28"/>
      <c r="AI611" s="28"/>
      <c r="AJ611" s="12"/>
      <c r="AK611" s="29"/>
      <c r="AL611" s="12"/>
    </row>
    <row r="612" spans="9:38" x14ac:dyDescent="0.25">
      <c r="I612" s="15"/>
      <c r="K612" s="16"/>
      <c r="L612" s="16"/>
      <c r="M612" s="16"/>
      <c r="N612" s="16"/>
      <c r="O612" s="16"/>
      <c r="S612" s="11"/>
      <c r="T612" s="11"/>
      <c r="U612" s="11"/>
      <c r="Y612" s="27"/>
      <c r="Z612" s="11"/>
      <c r="AE612" s="11"/>
      <c r="AH612" s="28"/>
      <c r="AI612" s="28"/>
      <c r="AJ612" s="12"/>
      <c r="AK612" s="29"/>
      <c r="AL612" s="12"/>
    </row>
    <row r="613" spans="9:38" x14ac:dyDescent="0.25">
      <c r="I613" s="15"/>
      <c r="K613" s="16"/>
      <c r="L613" s="16"/>
      <c r="M613" s="16"/>
      <c r="N613" s="16"/>
      <c r="O613" s="16"/>
      <c r="S613" s="11"/>
      <c r="T613" s="11"/>
      <c r="U613" s="11"/>
      <c r="Y613" s="27"/>
      <c r="Z613" s="11"/>
      <c r="AE613" s="11"/>
      <c r="AH613" s="28"/>
      <c r="AI613" s="28"/>
      <c r="AJ613" s="12"/>
      <c r="AK613" s="29"/>
      <c r="AL613" s="12"/>
    </row>
    <row r="614" spans="9:38" x14ac:dyDescent="0.25">
      <c r="I614" s="15"/>
      <c r="K614" s="16"/>
      <c r="L614" s="16"/>
      <c r="M614" s="16"/>
      <c r="N614" s="16"/>
      <c r="O614" s="16"/>
      <c r="S614" s="11"/>
      <c r="T614" s="11"/>
      <c r="U614" s="11"/>
      <c r="Y614" s="27"/>
      <c r="Z614" s="11"/>
      <c r="AE614" s="11"/>
      <c r="AH614" s="28"/>
      <c r="AI614" s="28"/>
      <c r="AJ614" s="12"/>
      <c r="AK614" s="29"/>
      <c r="AL614" s="12"/>
    </row>
    <row r="615" spans="9:38" x14ac:dyDescent="0.25">
      <c r="I615" s="15"/>
      <c r="K615" s="16"/>
      <c r="L615" s="16"/>
      <c r="M615" s="16"/>
      <c r="N615" s="16"/>
      <c r="O615" s="16"/>
      <c r="S615" s="11"/>
      <c r="T615" s="11"/>
      <c r="U615" s="11"/>
      <c r="Y615" s="27"/>
      <c r="Z615" s="11"/>
      <c r="AE615" s="11"/>
      <c r="AH615" s="28"/>
      <c r="AI615" s="28"/>
      <c r="AJ615" s="12"/>
      <c r="AK615" s="29"/>
      <c r="AL615" s="12"/>
    </row>
    <row r="616" spans="9:38" x14ac:dyDescent="0.25">
      <c r="I616" s="15"/>
      <c r="K616" s="16"/>
      <c r="L616" s="16"/>
      <c r="M616" s="16"/>
      <c r="N616" s="16"/>
      <c r="O616" s="16"/>
      <c r="S616" s="11"/>
      <c r="T616" s="11"/>
      <c r="U616" s="11"/>
      <c r="Y616" s="27"/>
      <c r="Z616" s="11"/>
      <c r="AE616" s="11"/>
      <c r="AH616" s="28"/>
      <c r="AI616" s="28"/>
      <c r="AJ616" s="12"/>
      <c r="AK616" s="29"/>
      <c r="AL616" s="12"/>
    </row>
    <row r="617" spans="9:38" x14ac:dyDescent="0.25">
      <c r="I617" s="15"/>
      <c r="K617" s="16"/>
      <c r="L617" s="16"/>
      <c r="M617" s="16"/>
      <c r="N617" s="16"/>
      <c r="O617" s="16"/>
      <c r="S617" s="11"/>
      <c r="T617" s="11"/>
      <c r="U617" s="11"/>
      <c r="Y617" s="27"/>
      <c r="Z617" s="11"/>
      <c r="AE617" s="11"/>
      <c r="AH617" s="28"/>
      <c r="AI617" s="28"/>
      <c r="AJ617" s="12"/>
      <c r="AK617" s="29"/>
      <c r="AL617" s="12"/>
    </row>
    <row r="618" spans="9:38" x14ac:dyDescent="0.25">
      <c r="I618" s="15"/>
      <c r="K618" s="16"/>
      <c r="L618" s="16"/>
      <c r="M618" s="16"/>
      <c r="N618" s="16"/>
      <c r="O618" s="16"/>
      <c r="S618" s="11"/>
      <c r="T618" s="11"/>
      <c r="U618" s="11"/>
      <c r="Y618" s="27"/>
      <c r="Z618" s="11"/>
      <c r="AE618" s="11"/>
      <c r="AH618" s="28"/>
      <c r="AI618" s="28"/>
      <c r="AJ618" s="12"/>
      <c r="AK618" s="29"/>
      <c r="AL618" s="12"/>
    </row>
    <row r="619" spans="9:38" x14ac:dyDescent="0.25">
      <c r="I619" s="15"/>
      <c r="K619" s="16"/>
      <c r="L619" s="16"/>
      <c r="M619" s="16"/>
      <c r="N619" s="16"/>
      <c r="O619" s="16"/>
      <c r="S619" s="11"/>
      <c r="T619" s="11"/>
      <c r="U619" s="11"/>
      <c r="Y619" s="27"/>
      <c r="Z619" s="11"/>
      <c r="AE619" s="11"/>
      <c r="AH619" s="28"/>
      <c r="AI619" s="28"/>
      <c r="AJ619" s="12"/>
      <c r="AK619" s="29"/>
      <c r="AL619" s="12"/>
    </row>
    <row r="620" spans="9:38" x14ac:dyDescent="0.25">
      <c r="I620" s="15"/>
      <c r="K620" s="16"/>
      <c r="L620" s="16"/>
      <c r="M620" s="16"/>
      <c r="N620" s="16"/>
      <c r="O620" s="16"/>
      <c r="S620" s="11"/>
      <c r="T620" s="11"/>
      <c r="U620" s="11"/>
      <c r="Y620" s="27"/>
      <c r="Z620" s="11"/>
      <c r="AE620" s="11"/>
      <c r="AH620" s="28"/>
      <c r="AI620" s="28"/>
      <c r="AJ620" s="12"/>
      <c r="AK620" s="29"/>
      <c r="AL620" s="12"/>
    </row>
    <row r="621" spans="9:38" x14ac:dyDescent="0.25">
      <c r="I621" s="15"/>
      <c r="K621" s="16"/>
      <c r="L621" s="16"/>
      <c r="M621" s="16"/>
      <c r="N621" s="16"/>
      <c r="O621" s="16"/>
      <c r="S621" s="11"/>
      <c r="T621" s="11"/>
      <c r="U621" s="11"/>
      <c r="Y621" s="27"/>
      <c r="Z621" s="11"/>
      <c r="AE621" s="11"/>
      <c r="AH621" s="28"/>
      <c r="AI621" s="28"/>
      <c r="AJ621" s="12"/>
      <c r="AK621" s="29"/>
      <c r="AL621" s="12"/>
    </row>
    <row r="622" spans="9:38" x14ac:dyDescent="0.25">
      <c r="I622" s="15"/>
      <c r="K622" s="16"/>
      <c r="L622" s="16"/>
      <c r="M622" s="16"/>
      <c r="N622" s="16"/>
      <c r="O622" s="16"/>
      <c r="S622" s="11"/>
      <c r="T622" s="11"/>
      <c r="U622" s="11"/>
      <c r="Y622" s="27"/>
      <c r="Z622" s="11"/>
      <c r="AE622" s="11"/>
      <c r="AH622" s="28"/>
      <c r="AI622" s="28"/>
      <c r="AJ622" s="12"/>
      <c r="AK622" s="29"/>
      <c r="AL622" s="12"/>
    </row>
    <row r="623" spans="9:38" x14ac:dyDescent="0.25">
      <c r="I623" s="15"/>
      <c r="K623" s="16"/>
      <c r="L623" s="16"/>
      <c r="M623" s="16"/>
      <c r="N623" s="16"/>
      <c r="O623" s="16"/>
      <c r="S623" s="11"/>
      <c r="T623" s="11"/>
      <c r="U623" s="11"/>
      <c r="Y623" s="27"/>
      <c r="Z623" s="11"/>
      <c r="AE623" s="11"/>
      <c r="AH623" s="28"/>
      <c r="AI623" s="28"/>
      <c r="AJ623" s="12"/>
      <c r="AK623" s="29"/>
      <c r="AL623" s="12"/>
    </row>
    <row r="624" spans="9:38" x14ac:dyDescent="0.25">
      <c r="I624" s="15"/>
      <c r="K624" s="16"/>
      <c r="L624" s="16"/>
      <c r="M624" s="16"/>
      <c r="N624" s="16"/>
      <c r="O624" s="16"/>
      <c r="S624" s="11"/>
      <c r="T624" s="11"/>
      <c r="U624" s="11"/>
      <c r="Y624" s="27"/>
      <c r="Z624" s="11"/>
      <c r="AE624" s="11"/>
      <c r="AH624" s="28"/>
      <c r="AI624" s="28"/>
      <c r="AJ624" s="12"/>
      <c r="AK624" s="29"/>
      <c r="AL624" s="12"/>
    </row>
    <row r="625" spans="9:38" x14ac:dyDescent="0.25">
      <c r="I625" s="15"/>
      <c r="K625" s="16"/>
      <c r="L625" s="16"/>
      <c r="M625" s="16"/>
      <c r="N625" s="16"/>
      <c r="O625" s="16"/>
      <c r="S625" s="11"/>
      <c r="T625" s="11"/>
      <c r="U625" s="11"/>
      <c r="Y625" s="27"/>
      <c r="Z625" s="11"/>
      <c r="AE625" s="11"/>
      <c r="AH625" s="28"/>
      <c r="AI625" s="28"/>
      <c r="AJ625" s="12"/>
      <c r="AK625" s="29"/>
      <c r="AL625" s="12"/>
    </row>
    <row r="626" spans="9:38" x14ac:dyDescent="0.25">
      <c r="I626" s="15"/>
      <c r="K626" s="16"/>
      <c r="L626" s="16"/>
      <c r="M626" s="16"/>
      <c r="N626" s="16"/>
      <c r="O626" s="16"/>
      <c r="S626" s="11"/>
      <c r="T626" s="11"/>
      <c r="U626" s="11"/>
      <c r="Y626" s="27"/>
      <c r="Z626" s="11"/>
      <c r="AE626" s="11"/>
      <c r="AH626" s="28"/>
      <c r="AI626" s="28"/>
      <c r="AJ626" s="12"/>
      <c r="AK626" s="29"/>
      <c r="AL626" s="12"/>
    </row>
    <row r="627" spans="9:38" x14ac:dyDescent="0.25">
      <c r="I627" s="15"/>
      <c r="K627" s="16"/>
      <c r="L627" s="16"/>
      <c r="M627" s="16"/>
      <c r="N627" s="16"/>
      <c r="O627" s="16"/>
      <c r="S627" s="11"/>
      <c r="T627" s="11"/>
      <c r="U627" s="11"/>
      <c r="Y627" s="27"/>
      <c r="Z627" s="11"/>
      <c r="AE627" s="11"/>
      <c r="AH627" s="28"/>
      <c r="AI627" s="28"/>
      <c r="AJ627" s="12"/>
      <c r="AK627" s="29"/>
      <c r="AL627" s="12"/>
    </row>
    <row r="628" spans="9:38" x14ac:dyDescent="0.25">
      <c r="I628" s="15"/>
      <c r="K628" s="16"/>
      <c r="L628" s="16"/>
      <c r="M628" s="16"/>
      <c r="N628" s="16"/>
      <c r="O628" s="16"/>
      <c r="S628" s="11"/>
      <c r="T628" s="11"/>
      <c r="U628" s="11"/>
      <c r="Y628" s="27"/>
      <c r="Z628" s="11"/>
      <c r="AE628" s="11"/>
      <c r="AH628" s="28"/>
      <c r="AI628" s="28"/>
      <c r="AJ628" s="12"/>
      <c r="AK628" s="29"/>
      <c r="AL628" s="12"/>
    </row>
    <row r="629" spans="9:38" x14ac:dyDescent="0.25">
      <c r="I629" s="15"/>
      <c r="K629" s="16"/>
      <c r="L629" s="16"/>
      <c r="M629" s="16"/>
      <c r="N629" s="16"/>
      <c r="O629" s="16"/>
      <c r="S629" s="11"/>
      <c r="T629" s="11"/>
      <c r="U629" s="11"/>
      <c r="Y629" s="27"/>
      <c r="Z629" s="11"/>
      <c r="AE629" s="11"/>
      <c r="AH629" s="28"/>
      <c r="AI629" s="28"/>
      <c r="AJ629" s="12"/>
      <c r="AK629" s="29"/>
      <c r="AL629" s="12"/>
    </row>
    <row r="630" spans="9:38" x14ac:dyDescent="0.25">
      <c r="I630" s="15"/>
      <c r="K630" s="16"/>
      <c r="L630" s="16"/>
      <c r="M630" s="16"/>
      <c r="N630" s="16"/>
      <c r="O630" s="16"/>
      <c r="S630" s="11"/>
      <c r="T630" s="11"/>
      <c r="U630" s="11"/>
      <c r="Y630" s="27"/>
      <c r="Z630" s="11"/>
      <c r="AE630" s="11"/>
      <c r="AH630" s="28"/>
      <c r="AI630" s="28"/>
      <c r="AJ630" s="12"/>
      <c r="AK630" s="29"/>
      <c r="AL630" s="12"/>
    </row>
    <row r="631" spans="9:38" x14ac:dyDescent="0.25">
      <c r="I631" s="15"/>
      <c r="K631" s="16"/>
      <c r="L631" s="16"/>
      <c r="M631" s="16"/>
      <c r="N631" s="16"/>
      <c r="O631" s="16"/>
      <c r="S631" s="11"/>
      <c r="T631" s="11"/>
      <c r="U631" s="11"/>
      <c r="Y631" s="27"/>
      <c r="Z631" s="11"/>
      <c r="AE631" s="11"/>
      <c r="AH631" s="28"/>
      <c r="AI631" s="28"/>
      <c r="AJ631" s="12"/>
      <c r="AK631" s="29"/>
      <c r="AL631" s="12"/>
    </row>
    <row r="632" spans="9:38" x14ac:dyDescent="0.25">
      <c r="I632" s="15"/>
      <c r="K632" s="16"/>
      <c r="L632" s="16"/>
      <c r="M632" s="16"/>
      <c r="N632" s="16"/>
      <c r="O632" s="16"/>
      <c r="S632" s="11"/>
      <c r="T632" s="11"/>
      <c r="U632" s="11"/>
      <c r="Y632" s="27"/>
      <c r="Z632" s="11"/>
      <c r="AE632" s="11"/>
      <c r="AH632" s="28"/>
      <c r="AI632" s="28"/>
      <c r="AJ632" s="12"/>
      <c r="AK632" s="29"/>
      <c r="AL632" s="12"/>
    </row>
    <row r="633" spans="9:38" x14ac:dyDescent="0.25">
      <c r="I633" s="15"/>
      <c r="K633" s="16"/>
      <c r="L633" s="16"/>
      <c r="M633" s="16"/>
      <c r="N633" s="16"/>
      <c r="O633" s="16"/>
      <c r="S633" s="11"/>
      <c r="T633" s="11"/>
      <c r="U633" s="11"/>
      <c r="Y633" s="27"/>
      <c r="Z633" s="11"/>
      <c r="AE633" s="11"/>
      <c r="AH633" s="28"/>
      <c r="AI633" s="28"/>
      <c r="AJ633" s="12"/>
      <c r="AK633" s="29"/>
      <c r="AL633" s="12"/>
    </row>
    <row r="634" spans="9:38" x14ac:dyDescent="0.25">
      <c r="I634" s="15"/>
      <c r="K634" s="16"/>
      <c r="L634" s="16"/>
      <c r="M634" s="16"/>
      <c r="N634" s="16"/>
      <c r="O634" s="16"/>
      <c r="S634" s="11"/>
      <c r="T634" s="11"/>
      <c r="U634" s="11"/>
      <c r="Y634" s="27"/>
      <c r="Z634" s="11"/>
      <c r="AE634" s="11"/>
      <c r="AH634" s="28"/>
      <c r="AI634" s="28"/>
      <c r="AJ634" s="12"/>
      <c r="AK634" s="29"/>
      <c r="AL634" s="12"/>
    </row>
    <row r="635" spans="9:38" x14ac:dyDescent="0.25">
      <c r="I635" s="15"/>
      <c r="K635" s="16"/>
      <c r="L635" s="16"/>
      <c r="M635" s="16"/>
      <c r="N635" s="16"/>
      <c r="O635" s="16"/>
      <c r="S635" s="11"/>
      <c r="T635" s="11"/>
      <c r="U635" s="11"/>
      <c r="Y635" s="27"/>
      <c r="Z635" s="11"/>
      <c r="AE635" s="11"/>
      <c r="AH635" s="28"/>
      <c r="AI635" s="28"/>
      <c r="AJ635" s="12"/>
      <c r="AK635" s="29"/>
      <c r="AL635" s="12"/>
    </row>
    <row r="636" spans="9:38" x14ac:dyDescent="0.25">
      <c r="I636" s="15"/>
      <c r="K636" s="16"/>
      <c r="L636" s="16"/>
      <c r="M636" s="16"/>
      <c r="N636" s="16"/>
      <c r="O636" s="16"/>
      <c r="S636" s="11"/>
      <c r="T636" s="11"/>
      <c r="U636" s="11"/>
      <c r="Y636" s="27"/>
      <c r="Z636" s="11"/>
      <c r="AE636" s="11"/>
      <c r="AH636" s="28"/>
      <c r="AI636" s="28"/>
      <c r="AJ636" s="12"/>
      <c r="AK636" s="29"/>
      <c r="AL636" s="12"/>
    </row>
    <row r="637" spans="9:38" x14ac:dyDescent="0.25">
      <c r="I637" s="15"/>
      <c r="K637" s="16"/>
      <c r="L637" s="16"/>
      <c r="M637" s="16"/>
      <c r="N637" s="16"/>
      <c r="O637" s="16"/>
      <c r="S637" s="11"/>
      <c r="T637" s="11"/>
      <c r="U637" s="11"/>
      <c r="Y637" s="27"/>
      <c r="Z637" s="11"/>
      <c r="AE637" s="11"/>
      <c r="AH637" s="28"/>
      <c r="AI637" s="28"/>
      <c r="AJ637" s="12"/>
      <c r="AK637" s="29"/>
      <c r="AL637" s="12"/>
    </row>
    <row r="638" spans="9:38" x14ac:dyDescent="0.25">
      <c r="I638" s="15"/>
      <c r="K638" s="16"/>
      <c r="L638" s="16"/>
      <c r="M638" s="16"/>
      <c r="N638" s="16"/>
      <c r="O638" s="16"/>
      <c r="S638" s="11"/>
      <c r="T638" s="11"/>
      <c r="U638" s="11"/>
      <c r="Y638" s="27"/>
      <c r="Z638" s="11"/>
      <c r="AE638" s="11"/>
      <c r="AH638" s="28"/>
      <c r="AI638" s="28"/>
      <c r="AJ638" s="12"/>
      <c r="AK638" s="29"/>
      <c r="AL638" s="12"/>
    </row>
    <row r="639" spans="9:38" x14ac:dyDescent="0.25">
      <c r="I639" s="15"/>
      <c r="K639" s="16"/>
      <c r="L639" s="16"/>
      <c r="M639" s="16"/>
      <c r="N639" s="16"/>
      <c r="O639" s="16"/>
      <c r="S639" s="11"/>
      <c r="T639" s="11"/>
      <c r="U639" s="11"/>
      <c r="Y639" s="27"/>
      <c r="Z639" s="11"/>
      <c r="AE639" s="11"/>
      <c r="AH639" s="28"/>
      <c r="AI639" s="28"/>
      <c r="AJ639" s="12"/>
      <c r="AK639" s="29"/>
      <c r="AL639" s="12"/>
    </row>
    <row r="640" spans="9:38" x14ac:dyDescent="0.25">
      <c r="I640" s="15"/>
      <c r="K640" s="16"/>
      <c r="L640" s="16"/>
      <c r="M640" s="16"/>
      <c r="N640" s="16"/>
      <c r="O640" s="16"/>
      <c r="S640" s="11"/>
      <c r="T640" s="11"/>
      <c r="U640" s="11"/>
      <c r="Y640" s="27"/>
      <c r="Z640" s="11"/>
      <c r="AE640" s="11"/>
      <c r="AH640" s="28"/>
      <c r="AI640" s="28"/>
      <c r="AJ640" s="12"/>
      <c r="AK640" s="29"/>
      <c r="AL640" s="12"/>
    </row>
    <row r="641" spans="9:38" x14ac:dyDescent="0.25">
      <c r="I641" s="15"/>
      <c r="K641" s="16"/>
      <c r="L641" s="16"/>
      <c r="M641" s="16"/>
      <c r="N641" s="16"/>
      <c r="O641" s="16"/>
      <c r="S641" s="11"/>
      <c r="T641" s="11"/>
      <c r="U641" s="11"/>
      <c r="Y641" s="27"/>
      <c r="Z641" s="11"/>
      <c r="AE641" s="11"/>
      <c r="AH641" s="28"/>
      <c r="AI641" s="28"/>
      <c r="AJ641" s="12"/>
      <c r="AK641" s="29"/>
      <c r="AL641" s="12"/>
    </row>
    <row r="642" spans="9:38" x14ac:dyDescent="0.25">
      <c r="I642" s="15"/>
      <c r="K642" s="16"/>
      <c r="L642" s="16"/>
      <c r="M642" s="16"/>
      <c r="N642" s="16"/>
      <c r="O642" s="16"/>
      <c r="S642" s="11"/>
      <c r="T642" s="11"/>
      <c r="U642" s="11"/>
      <c r="Y642" s="27"/>
      <c r="Z642" s="11"/>
      <c r="AE642" s="11"/>
      <c r="AH642" s="28"/>
      <c r="AI642" s="28"/>
      <c r="AJ642" s="12"/>
      <c r="AK642" s="29"/>
      <c r="AL642" s="12"/>
    </row>
    <row r="643" spans="9:38" x14ac:dyDescent="0.25">
      <c r="I643" s="15"/>
      <c r="K643" s="16"/>
      <c r="L643" s="16"/>
      <c r="M643" s="16"/>
      <c r="N643" s="16"/>
      <c r="O643" s="16"/>
      <c r="S643" s="11"/>
      <c r="T643" s="11"/>
      <c r="U643" s="11"/>
      <c r="Y643" s="27"/>
      <c r="Z643" s="11"/>
      <c r="AE643" s="11"/>
      <c r="AH643" s="28"/>
      <c r="AI643" s="28"/>
      <c r="AJ643" s="12"/>
      <c r="AK643" s="29"/>
      <c r="AL643" s="12"/>
    </row>
    <row r="644" spans="9:38" x14ac:dyDescent="0.25">
      <c r="I644" s="15"/>
      <c r="K644" s="16"/>
      <c r="L644" s="16"/>
      <c r="M644" s="16"/>
      <c r="N644" s="16"/>
      <c r="O644" s="16"/>
      <c r="S644" s="11"/>
      <c r="T644" s="11"/>
      <c r="U644" s="11"/>
      <c r="Y644" s="27"/>
      <c r="Z644" s="11"/>
      <c r="AE644" s="11"/>
      <c r="AH644" s="28"/>
      <c r="AI644" s="28"/>
      <c r="AJ644" s="12"/>
      <c r="AK644" s="29"/>
      <c r="AL644" s="12"/>
    </row>
    <row r="645" spans="9:38" x14ac:dyDescent="0.25">
      <c r="I645" s="15"/>
      <c r="K645" s="16"/>
      <c r="L645" s="16"/>
      <c r="M645" s="16"/>
      <c r="N645" s="16"/>
      <c r="O645" s="16"/>
      <c r="S645" s="11"/>
      <c r="T645" s="11"/>
      <c r="U645" s="11"/>
      <c r="Y645" s="27"/>
      <c r="Z645" s="11"/>
      <c r="AE645" s="11"/>
      <c r="AH645" s="28"/>
      <c r="AI645" s="28"/>
      <c r="AJ645" s="12"/>
      <c r="AK645" s="29"/>
      <c r="AL645" s="12"/>
    </row>
    <row r="646" spans="9:38" x14ac:dyDescent="0.25">
      <c r="I646" s="15"/>
      <c r="K646" s="16"/>
      <c r="L646" s="16"/>
      <c r="M646" s="16"/>
      <c r="N646" s="16"/>
      <c r="O646" s="16"/>
      <c r="S646" s="11"/>
      <c r="T646" s="11"/>
      <c r="U646" s="11"/>
      <c r="Y646" s="27"/>
      <c r="Z646" s="11"/>
      <c r="AE646" s="11"/>
      <c r="AH646" s="28"/>
      <c r="AI646" s="28"/>
      <c r="AJ646" s="12"/>
      <c r="AK646" s="29"/>
      <c r="AL646" s="12"/>
    </row>
    <row r="647" spans="9:38" x14ac:dyDescent="0.25">
      <c r="I647" s="15"/>
      <c r="K647" s="16"/>
      <c r="L647" s="16"/>
      <c r="M647" s="16"/>
      <c r="N647" s="16"/>
      <c r="O647" s="16"/>
      <c r="S647" s="11"/>
      <c r="T647" s="11"/>
      <c r="U647" s="11"/>
      <c r="Y647" s="27"/>
      <c r="Z647" s="11"/>
      <c r="AE647" s="11"/>
      <c r="AH647" s="28"/>
      <c r="AI647" s="28"/>
      <c r="AJ647" s="12"/>
      <c r="AK647" s="29"/>
      <c r="AL647" s="12"/>
    </row>
    <row r="648" spans="9:38" x14ac:dyDescent="0.25">
      <c r="I648" s="15"/>
      <c r="K648" s="16"/>
      <c r="L648" s="16"/>
      <c r="M648" s="16"/>
      <c r="N648" s="16"/>
      <c r="O648" s="16"/>
      <c r="S648" s="11"/>
      <c r="T648" s="11"/>
      <c r="U648" s="11"/>
      <c r="Y648" s="27"/>
      <c r="Z648" s="11"/>
      <c r="AE648" s="11"/>
      <c r="AH648" s="28"/>
      <c r="AI648" s="28"/>
      <c r="AJ648" s="12"/>
      <c r="AK648" s="29"/>
      <c r="AL648" s="12"/>
    </row>
    <row r="649" spans="9:38" x14ac:dyDescent="0.25">
      <c r="I649" s="15"/>
      <c r="K649" s="16"/>
      <c r="L649" s="16"/>
      <c r="M649" s="16"/>
      <c r="N649" s="16"/>
      <c r="O649" s="16"/>
      <c r="S649" s="11"/>
      <c r="T649" s="11"/>
      <c r="U649" s="11"/>
      <c r="Y649" s="27"/>
      <c r="Z649" s="11"/>
      <c r="AE649" s="11"/>
      <c r="AH649" s="28"/>
      <c r="AI649" s="28"/>
      <c r="AJ649" s="12"/>
      <c r="AK649" s="29"/>
      <c r="AL649" s="12"/>
    </row>
    <row r="650" spans="9:38" x14ac:dyDescent="0.25">
      <c r="I650" s="15"/>
      <c r="K650" s="16"/>
      <c r="L650" s="16"/>
      <c r="M650" s="16"/>
      <c r="N650" s="16"/>
      <c r="O650" s="16"/>
      <c r="S650" s="11"/>
      <c r="T650" s="11"/>
      <c r="U650" s="11"/>
      <c r="Y650" s="27"/>
      <c r="Z650" s="11"/>
      <c r="AE650" s="11"/>
      <c r="AH650" s="28"/>
      <c r="AI650" s="28"/>
      <c r="AJ650" s="12"/>
      <c r="AK650" s="29"/>
      <c r="AL650" s="12"/>
    </row>
    <row r="651" spans="9:38" x14ac:dyDescent="0.25">
      <c r="I651" s="15"/>
      <c r="K651" s="16"/>
      <c r="L651" s="16"/>
      <c r="M651" s="16"/>
      <c r="N651" s="16"/>
      <c r="O651" s="16"/>
      <c r="S651" s="11"/>
      <c r="T651" s="11"/>
      <c r="U651" s="11"/>
      <c r="Y651" s="27"/>
      <c r="Z651" s="11"/>
      <c r="AE651" s="11"/>
      <c r="AH651" s="28"/>
      <c r="AI651" s="28"/>
      <c r="AJ651" s="12"/>
      <c r="AK651" s="29"/>
      <c r="AL651" s="12"/>
    </row>
    <row r="652" spans="9:38" x14ac:dyDescent="0.25">
      <c r="I652" s="15"/>
      <c r="K652" s="16"/>
      <c r="L652" s="16"/>
      <c r="M652" s="16"/>
      <c r="N652" s="16"/>
      <c r="O652" s="16"/>
      <c r="S652" s="11"/>
      <c r="T652" s="11"/>
      <c r="U652" s="11"/>
      <c r="Y652" s="27"/>
      <c r="Z652" s="11"/>
      <c r="AE652" s="11"/>
      <c r="AH652" s="28"/>
      <c r="AI652" s="28"/>
      <c r="AJ652" s="12"/>
      <c r="AK652" s="29"/>
      <c r="AL652" s="12"/>
    </row>
    <row r="653" spans="9:38" x14ac:dyDescent="0.25">
      <c r="I653" s="15"/>
      <c r="K653" s="16"/>
      <c r="L653" s="16"/>
      <c r="M653" s="16"/>
      <c r="N653" s="16"/>
      <c r="O653" s="16"/>
      <c r="S653" s="11"/>
      <c r="T653" s="11"/>
      <c r="U653" s="11"/>
      <c r="Y653" s="27"/>
      <c r="Z653" s="11"/>
      <c r="AE653" s="11"/>
      <c r="AH653" s="28"/>
      <c r="AI653" s="28"/>
      <c r="AJ653" s="12"/>
      <c r="AK653" s="29"/>
      <c r="AL653" s="12"/>
    </row>
    <row r="654" spans="9:38" x14ac:dyDescent="0.25">
      <c r="I654" s="15"/>
      <c r="K654" s="16"/>
      <c r="L654" s="16"/>
      <c r="M654" s="16"/>
      <c r="N654" s="16"/>
      <c r="O654" s="16"/>
      <c r="S654" s="11"/>
      <c r="T654" s="11"/>
      <c r="U654" s="11"/>
      <c r="Y654" s="27"/>
      <c r="Z654" s="11"/>
      <c r="AE654" s="11"/>
      <c r="AH654" s="28"/>
      <c r="AI654" s="28"/>
      <c r="AJ654" s="12"/>
      <c r="AK654" s="29"/>
      <c r="AL654" s="12"/>
    </row>
    <row r="655" spans="9:38" x14ac:dyDescent="0.25">
      <c r="I655" s="15"/>
      <c r="K655" s="16"/>
      <c r="L655" s="16"/>
      <c r="M655" s="16"/>
      <c r="N655" s="16"/>
      <c r="O655" s="16"/>
      <c r="S655" s="11"/>
      <c r="T655" s="11"/>
      <c r="U655" s="11"/>
      <c r="Y655" s="27"/>
      <c r="Z655" s="11"/>
      <c r="AE655" s="11"/>
      <c r="AH655" s="28"/>
      <c r="AI655" s="28"/>
      <c r="AJ655" s="12"/>
      <c r="AK655" s="29"/>
      <c r="AL655" s="12"/>
    </row>
    <row r="656" spans="9:38" x14ac:dyDescent="0.25">
      <c r="I656" s="15"/>
      <c r="K656" s="16"/>
      <c r="L656" s="16"/>
      <c r="M656" s="16"/>
      <c r="N656" s="16"/>
      <c r="O656" s="16"/>
      <c r="S656" s="11"/>
      <c r="T656" s="11"/>
      <c r="U656" s="11"/>
      <c r="Y656" s="27"/>
      <c r="Z656" s="11"/>
      <c r="AE656" s="11"/>
      <c r="AH656" s="28"/>
      <c r="AI656" s="28"/>
      <c r="AJ656" s="12"/>
      <c r="AK656" s="29"/>
      <c r="AL656" s="12"/>
    </row>
    <row r="657" spans="9:38" x14ac:dyDescent="0.25">
      <c r="I657" s="15"/>
      <c r="K657" s="16"/>
      <c r="L657" s="16"/>
      <c r="M657" s="16"/>
      <c r="N657" s="16"/>
      <c r="O657" s="16"/>
      <c r="S657" s="11"/>
      <c r="T657" s="11"/>
      <c r="U657" s="11"/>
      <c r="Y657" s="27"/>
      <c r="Z657" s="11"/>
      <c r="AE657" s="11"/>
      <c r="AH657" s="28"/>
      <c r="AI657" s="28"/>
      <c r="AJ657" s="12"/>
      <c r="AK657" s="29"/>
      <c r="AL657" s="12"/>
    </row>
    <row r="658" spans="9:38" x14ac:dyDescent="0.25">
      <c r="I658" s="15"/>
      <c r="K658" s="16"/>
      <c r="L658" s="16"/>
      <c r="M658" s="16"/>
      <c r="N658" s="16"/>
      <c r="O658" s="16"/>
      <c r="S658" s="11"/>
      <c r="T658" s="11"/>
      <c r="U658" s="11"/>
      <c r="Y658" s="27"/>
      <c r="Z658" s="11"/>
      <c r="AE658" s="11"/>
      <c r="AH658" s="28"/>
      <c r="AI658" s="28"/>
      <c r="AJ658" s="12"/>
      <c r="AK658" s="29"/>
      <c r="AL658" s="12"/>
    </row>
    <row r="659" spans="9:38" x14ac:dyDescent="0.25">
      <c r="I659" s="15"/>
      <c r="K659" s="16"/>
      <c r="L659" s="16"/>
      <c r="M659" s="16"/>
      <c r="N659" s="16"/>
      <c r="O659" s="16"/>
      <c r="S659" s="11"/>
      <c r="T659" s="11"/>
      <c r="U659" s="11"/>
      <c r="Y659" s="27"/>
      <c r="Z659" s="11"/>
      <c r="AE659" s="11"/>
      <c r="AH659" s="28"/>
      <c r="AI659" s="28"/>
      <c r="AJ659" s="12"/>
      <c r="AK659" s="29"/>
      <c r="AL659" s="12"/>
    </row>
    <row r="660" spans="9:38" x14ac:dyDescent="0.25">
      <c r="I660" s="15"/>
      <c r="K660" s="16"/>
      <c r="L660" s="16"/>
      <c r="M660" s="16"/>
      <c r="N660" s="16"/>
      <c r="O660" s="16"/>
      <c r="S660" s="11"/>
      <c r="T660" s="11"/>
      <c r="U660" s="11"/>
      <c r="Y660" s="27"/>
      <c r="Z660" s="11"/>
      <c r="AE660" s="11"/>
      <c r="AH660" s="28"/>
      <c r="AI660" s="28"/>
      <c r="AJ660" s="12"/>
      <c r="AK660" s="29"/>
      <c r="AL660" s="12"/>
    </row>
    <row r="661" spans="9:38" x14ac:dyDescent="0.25">
      <c r="I661" s="15"/>
      <c r="K661" s="16"/>
      <c r="L661" s="16"/>
      <c r="M661" s="16"/>
      <c r="N661" s="16"/>
      <c r="O661" s="16"/>
      <c r="S661" s="11"/>
      <c r="T661" s="11"/>
      <c r="U661" s="11"/>
      <c r="Y661" s="27"/>
      <c r="Z661" s="11"/>
      <c r="AE661" s="11"/>
      <c r="AH661" s="28"/>
      <c r="AI661" s="28"/>
      <c r="AJ661" s="12"/>
      <c r="AK661" s="29"/>
      <c r="AL661" s="12"/>
    </row>
    <row r="662" spans="9:38" x14ac:dyDescent="0.25">
      <c r="I662" s="15"/>
      <c r="K662" s="16"/>
      <c r="L662" s="16"/>
      <c r="M662" s="16"/>
      <c r="N662" s="16"/>
      <c r="O662" s="16"/>
      <c r="S662" s="11"/>
      <c r="T662" s="11"/>
      <c r="U662" s="11"/>
      <c r="Y662" s="27"/>
      <c r="Z662" s="11"/>
      <c r="AE662" s="11"/>
      <c r="AH662" s="28"/>
      <c r="AI662" s="28"/>
      <c r="AJ662" s="12"/>
      <c r="AK662" s="29"/>
      <c r="AL662" s="12"/>
    </row>
    <row r="663" spans="9:38" x14ac:dyDescent="0.25">
      <c r="I663" s="15"/>
      <c r="K663" s="16"/>
      <c r="L663" s="16"/>
      <c r="M663" s="16"/>
      <c r="N663" s="16"/>
      <c r="O663" s="16"/>
      <c r="S663" s="11"/>
      <c r="T663" s="11"/>
      <c r="U663" s="11"/>
      <c r="Y663" s="27"/>
      <c r="Z663" s="11"/>
      <c r="AE663" s="11"/>
      <c r="AH663" s="28"/>
      <c r="AI663" s="28"/>
      <c r="AJ663" s="12"/>
      <c r="AK663" s="29"/>
      <c r="AL663" s="12"/>
    </row>
    <row r="664" spans="9:38" x14ac:dyDescent="0.25">
      <c r="I664" s="15"/>
      <c r="K664" s="16"/>
      <c r="L664" s="16"/>
      <c r="M664" s="16"/>
      <c r="N664" s="16"/>
      <c r="O664" s="16"/>
      <c r="S664" s="11"/>
      <c r="T664" s="11"/>
      <c r="U664" s="11"/>
      <c r="Y664" s="27"/>
      <c r="Z664" s="11"/>
      <c r="AE664" s="11"/>
      <c r="AH664" s="28"/>
      <c r="AI664" s="28"/>
      <c r="AJ664" s="12"/>
      <c r="AK664" s="29"/>
      <c r="AL664" s="12"/>
    </row>
    <row r="665" spans="9:38" x14ac:dyDescent="0.25">
      <c r="I665" s="15"/>
      <c r="K665" s="16"/>
      <c r="L665" s="16"/>
      <c r="M665" s="16"/>
      <c r="N665" s="16"/>
      <c r="O665" s="16"/>
      <c r="S665" s="11"/>
      <c r="T665" s="11"/>
      <c r="U665" s="11"/>
      <c r="Y665" s="27"/>
      <c r="Z665" s="11"/>
      <c r="AE665" s="11"/>
      <c r="AH665" s="28"/>
      <c r="AI665" s="28"/>
      <c r="AJ665" s="12"/>
      <c r="AK665" s="29"/>
      <c r="AL665" s="12"/>
    </row>
    <row r="666" spans="9:38" x14ac:dyDescent="0.25">
      <c r="I666" s="15"/>
      <c r="K666" s="16"/>
      <c r="L666" s="16"/>
      <c r="M666" s="16"/>
      <c r="N666" s="16"/>
      <c r="O666" s="16"/>
      <c r="S666" s="11"/>
      <c r="T666" s="11"/>
      <c r="U666" s="11"/>
      <c r="Y666" s="27"/>
      <c r="Z666" s="11"/>
      <c r="AE666" s="11"/>
      <c r="AH666" s="28"/>
      <c r="AI666" s="28"/>
      <c r="AJ666" s="12"/>
      <c r="AK666" s="29"/>
      <c r="AL666" s="12"/>
    </row>
    <row r="667" spans="9:38" x14ac:dyDescent="0.25">
      <c r="I667" s="15"/>
      <c r="K667" s="16"/>
      <c r="L667" s="16"/>
      <c r="M667" s="16"/>
      <c r="N667" s="16"/>
      <c r="O667" s="16"/>
      <c r="S667" s="11"/>
      <c r="T667" s="11"/>
      <c r="U667" s="11"/>
      <c r="Y667" s="27"/>
      <c r="Z667" s="11"/>
      <c r="AE667" s="11"/>
      <c r="AH667" s="28"/>
      <c r="AI667" s="28"/>
      <c r="AJ667" s="12"/>
      <c r="AK667" s="29"/>
      <c r="AL667" s="12"/>
    </row>
    <row r="668" spans="9:38" x14ac:dyDescent="0.25">
      <c r="I668" s="15"/>
      <c r="K668" s="16"/>
      <c r="L668" s="16"/>
      <c r="M668" s="16"/>
      <c r="N668" s="16"/>
      <c r="O668" s="16"/>
      <c r="S668" s="11"/>
      <c r="T668" s="11"/>
      <c r="U668" s="11"/>
      <c r="Y668" s="27"/>
      <c r="Z668" s="11"/>
      <c r="AE668" s="11"/>
      <c r="AH668" s="28"/>
      <c r="AI668" s="28"/>
      <c r="AJ668" s="12"/>
      <c r="AK668" s="29"/>
      <c r="AL668" s="12"/>
    </row>
    <row r="669" spans="9:38" x14ac:dyDescent="0.25">
      <c r="I669" s="15"/>
      <c r="K669" s="16"/>
      <c r="L669" s="16"/>
      <c r="M669" s="16"/>
      <c r="N669" s="16"/>
      <c r="O669" s="16"/>
      <c r="S669" s="11"/>
      <c r="T669" s="11"/>
      <c r="U669" s="11"/>
      <c r="Y669" s="27"/>
      <c r="Z669" s="11"/>
      <c r="AE669" s="11"/>
      <c r="AH669" s="28"/>
      <c r="AI669" s="28"/>
      <c r="AJ669" s="12"/>
      <c r="AK669" s="29"/>
      <c r="AL669" s="12"/>
    </row>
    <row r="670" spans="9:38" x14ac:dyDescent="0.25">
      <c r="I670" s="15"/>
      <c r="K670" s="16"/>
      <c r="L670" s="16"/>
      <c r="M670" s="16"/>
      <c r="N670" s="16"/>
      <c r="O670" s="16"/>
      <c r="S670" s="11"/>
      <c r="T670" s="11"/>
      <c r="U670" s="11"/>
      <c r="Y670" s="27"/>
      <c r="Z670" s="11"/>
      <c r="AE670" s="11"/>
      <c r="AH670" s="28"/>
      <c r="AI670" s="28"/>
      <c r="AJ670" s="12"/>
      <c r="AK670" s="29"/>
      <c r="AL670" s="12"/>
    </row>
    <row r="671" spans="9:38" x14ac:dyDescent="0.25">
      <c r="I671" s="15"/>
      <c r="K671" s="16"/>
      <c r="L671" s="16"/>
      <c r="M671" s="16"/>
      <c r="N671" s="16"/>
      <c r="O671" s="16"/>
      <c r="S671" s="11"/>
      <c r="T671" s="11"/>
      <c r="U671" s="11"/>
      <c r="Y671" s="27"/>
      <c r="Z671" s="11"/>
      <c r="AE671" s="11"/>
      <c r="AH671" s="28"/>
      <c r="AI671" s="28"/>
      <c r="AJ671" s="12"/>
      <c r="AK671" s="29"/>
      <c r="AL671" s="12"/>
    </row>
    <row r="672" spans="9:38" x14ac:dyDescent="0.25">
      <c r="I672" s="15"/>
      <c r="K672" s="16"/>
      <c r="L672" s="16"/>
      <c r="M672" s="16"/>
      <c r="N672" s="16"/>
      <c r="O672" s="16"/>
      <c r="S672" s="11"/>
      <c r="T672" s="11"/>
      <c r="U672" s="11"/>
      <c r="Y672" s="27"/>
      <c r="Z672" s="11"/>
      <c r="AE672" s="11"/>
      <c r="AH672" s="28"/>
      <c r="AI672" s="28"/>
      <c r="AJ672" s="12"/>
      <c r="AK672" s="29"/>
      <c r="AL672" s="12"/>
    </row>
    <row r="673" spans="9:38" x14ac:dyDescent="0.25">
      <c r="I673" s="15"/>
      <c r="K673" s="16"/>
      <c r="L673" s="16"/>
      <c r="M673" s="16"/>
      <c r="N673" s="16"/>
      <c r="O673" s="16"/>
      <c r="S673" s="11"/>
      <c r="T673" s="11"/>
      <c r="U673" s="11"/>
      <c r="Y673" s="27"/>
      <c r="Z673" s="11"/>
      <c r="AE673" s="11"/>
      <c r="AH673" s="28"/>
      <c r="AI673" s="28"/>
      <c r="AJ673" s="12"/>
      <c r="AK673" s="29"/>
      <c r="AL673" s="12"/>
    </row>
    <row r="674" spans="9:38" x14ac:dyDescent="0.25">
      <c r="I674" s="15"/>
      <c r="K674" s="16"/>
      <c r="L674" s="16"/>
      <c r="M674" s="16"/>
      <c r="N674" s="16"/>
      <c r="O674" s="16"/>
      <c r="S674" s="11"/>
      <c r="T674" s="11"/>
      <c r="U674" s="11"/>
      <c r="Y674" s="27"/>
      <c r="Z674" s="11"/>
      <c r="AE674" s="11"/>
      <c r="AH674" s="28"/>
      <c r="AI674" s="28"/>
      <c r="AJ674" s="12"/>
      <c r="AK674" s="29"/>
      <c r="AL674" s="12"/>
    </row>
    <row r="675" spans="9:38" x14ac:dyDescent="0.25">
      <c r="I675" s="15"/>
      <c r="K675" s="16"/>
      <c r="L675" s="16"/>
      <c r="M675" s="16"/>
      <c r="N675" s="16"/>
      <c r="O675" s="16"/>
      <c r="S675" s="11"/>
      <c r="T675" s="11"/>
      <c r="U675" s="11"/>
      <c r="Y675" s="27"/>
      <c r="Z675" s="11"/>
      <c r="AE675" s="11"/>
      <c r="AH675" s="28"/>
      <c r="AI675" s="28"/>
      <c r="AJ675" s="12"/>
      <c r="AK675" s="29"/>
      <c r="AL675" s="12"/>
    </row>
    <row r="676" spans="9:38" x14ac:dyDescent="0.25">
      <c r="I676" s="15"/>
      <c r="K676" s="16"/>
      <c r="L676" s="16"/>
      <c r="M676" s="16"/>
      <c r="N676" s="16"/>
      <c r="O676" s="16"/>
      <c r="S676" s="11"/>
      <c r="T676" s="11"/>
      <c r="U676" s="11"/>
      <c r="Y676" s="27"/>
      <c r="Z676" s="11"/>
      <c r="AE676" s="11"/>
      <c r="AH676" s="28"/>
      <c r="AI676" s="28"/>
      <c r="AJ676" s="12"/>
      <c r="AK676" s="29"/>
      <c r="AL676" s="12"/>
    </row>
    <row r="677" spans="9:38" x14ac:dyDescent="0.25">
      <c r="I677" s="15"/>
      <c r="K677" s="16"/>
      <c r="L677" s="16"/>
      <c r="M677" s="16"/>
      <c r="N677" s="16"/>
      <c r="O677" s="16"/>
      <c r="S677" s="11"/>
      <c r="T677" s="11"/>
      <c r="U677" s="11"/>
      <c r="Y677" s="27"/>
      <c r="Z677" s="11"/>
      <c r="AE677" s="11"/>
      <c r="AH677" s="28"/>
      <c r="AI677" s="28"/>
      <c r="AJ677" s="12"/>
      <c r="AK677" s="29"/>
      <c r="AL677" s="12"/>
    </row>
    <row r="678" spans="9:38" x14ac:dyDescent="0.25">
      <c r="I678" s="15"/>
      <c r="K678" s="16"/>
      <c r="L678" s="16"/>
      <c r="M678" s="16"/>
      <c r="N678" s="16"/>
      <c r="O678" s="16"/>
      <c r="S678" s="11"/>
      <c r="T678" s="11"/>
      <c r="U678" s="11"/>
      <c r="Y678" s="27"/>
      <c r="Z678" s="11"/>
      <c r="AE678" s="11"/>
      <c r="AH678" s="28"/>
      <c r="AI678" s="28"/>
      <c r="AJ678" s="12"/>
      <c r="AK678" s="29"/>
      <c r="AL678" s="12"/>
    </row>
    <row r="679" spans="9:38" x14ac:dyDescent="0.25">
      <c r="I679" s="15"/>
      <c r="K679" s="16"/>
      <c r="L679" s="16"/>
      <c r="M679" s="16"/>
      <c r="N679" s="16"/>
      <c r="O679" s="16"/>
      <c r="S679" s="11"/>
      <c r="T679" s="11"/>
      <c r="U679" s="11"/>
      <c r="Y679" s="27"/>
      <c r="Z679" s="11"/>
      <c r="AE679" s="11"/>
      <c r="AH679" s="28"/>
      <c r="AI679" s="28"/>
      <c r="AJ679" s="12"/>
      <c r="AK679" s="29"/>
      <c r="AL679" s="12"/>
    </row>
    <row r="680" spans="9:38" x14ac:dyDescent="0.25">
      <c r="I680" s="15"/>
      <c r="K680" s="16"/>
      <c r="L680" s="16"/>
      <c r="M680" s="16"/>
      <c r="N680" s="16"/>
      <c r="O680" s="16"/>
      <c r="S680" s="11"/>
      <c r="T680" s="11"/>
      <c r="U680" s="11"/>
      <c r="Y680" s="27"/>
      <c r="Z680" s="11"/>
      <c r="AE680" s="11"/>
      <c r="AH680" s="28"/>
      <c r="AI680" s="28"/>
      <c r="AJ680" s="12"/>
      <c r="AK680" s="29"/>
      <c r="AL680" s="12"/>
    </row>
    <row r="681" spans="9:38" x14ac:dyDescent="0.25">
      <c r="I681" s="15"/>
      <c r="K681" s="16"/>
      <c r="L681" s="16"/>
      <c r="M681" s="16"/>
      <c r="N681" s="16"/>
      <c r="O681" s="16"/>
      <c r="S681" s="11"/>
      <c r="T681" s="11"/>
      <c r="U681" s="11"/>
      <c r="Y681" s="27"/>
      <c r="Z681" s="11"/>
      <c r="AE681" s="11"/>
      <c r="AH681" s="28"/>
      <c r="AI681" s="28"/>
      <c r="AJ681" s="12"/>
      <c r="AK681" s="29"/>
      <c r="AL681" s="12"/>
    </row>
    <row r="682" spans="9:38" x14ac:dyDescent="0.25">
      <c r="I682" s="15"/>
      <c r="K682" s="16"/>
      <c r="L682" s="16"/>
      <c r="M682" s="16"/>
      <c r="N682" s="16"/>
      <c r="O682" s="16"/>
      <c r="S682" s="11"/>
      <c r="T682" s="11"/>
      <c r="U682" s="11"/>
      <c r="Y682" s="27"/>
      <c r="Z682" s="11"/>
      <c r="AE682" s="11"/>
      <c r="AH682" s="28"/>
      <c r="AI682" s="28"/>
      <c r="AJ682" s="12"/>
      <c r="AK682" s="29"/>
      <c r="AL682" s="12"/>
    </row>
    <row r="683" spans="9:38" x14ac:dyDescent="0.25">
      <c r="I683" s="15"/>
      <c r="K683" s="16"/>
      <c r="L683" s="16"/>
      <c r="M683" s="16"/>
      <c r="N683" s="16"/>
      <c r="O683" s="16"/>
      <c r="S683" s="11"/>
      <c r="T683" s="11"/>
      <c r="U683" s="11"/>
      <c r="Y683" s="27"/>
      <c r="Z683" s="11"/>
      <c r="AE683" s="11"/>
      <c r="AH683" s="28"/>
      <c r="AI683" s="28"/>
      <c r="AJ683" s="12"/>
      <c r="AK683" s="29"/>
      <c r="AL683" s="12"/>
    </row>
    <row r="684" spans="9:38" x14ac:dyDescent="0.25">
      <c r="I684" s="15"/>
      <c r="K684" s="16"/>
      <c r="L684" s="16"/>
      <c r="M684" s="16"/>
      <c r="N684" s="16"/>
      <c r="O684" s="16"/>
      <c r="S684" s="11"/>
      <c r="T684" s="11"/>
      <c r="U684" s="11"/>
      <c r="Y684" s="27"/>
      <c r="Z684" s="11"/>
      <c r="AE684" s="11"/>
      <c r="AH684" s="28"/>
      <c r="AI684" s="28"/>
      <c r="AJ684" s="12"/>
      <c r="AK684" s="29"/>
      <c r="AL684" s="12"/>
    </row>
    <row r="685" spans="9:38" x14ac:dyDescent="0.25">
      <c r="I685" s="15"/>
      <c r="K685" s="16"/>
      <c r="L685" s="16"/>
      <c r="M685" s="16"/>
      <c r="N685" s="16"/>
      <c r="O685" s="16"/>
      <c r="S685" s="11"/>
      <c r="T685" s="11"/>
      <c r="U685" s="11"/>
      <c r="Y685" s="27"/>
      <c r="Z685" s="11"/>
      <c r="AE685" s="11"/>
      <c r="AH685" s="28"/>
      <c r="AI685" s="28"/>
      <c r="AJ685" s="12"/>
      <c r="AK685" s="29"/>
      <c r="AL685" s="12"/>
    </row>
    <row r="686" spans="9:38" x14ac:dyDescent="0.25">
      <c r="I686" s="15"/>
      <c r="K686" s="16"/>
      <c r="L686" s="16"/>
      <c r="M686" s="16"/>
      <c r="N686" s="16"/>
      <c r="O686" s="16"/>
      <c r="S686" s="11"/>
      <c r="T686" s="11"/>
      <c r="U686" s="11"/>
      <c r="Y686" s="27"/>
      <c r="Z686" s="11"/>
      <c r="AE686" s="11"/>
      <c r="AH686" s="28"/>
      <c r="AI686" s="28"/>
      <c r="AJ686" s="12"/>
      <c r="AK686" s="29"/>
      <c r="AL686" s="12"/>
    </row>
    <row r="687" spans="9:38" x14ac:dyDescent="0.25">
      <c r="I687" s="15"/>
      <c r="K687" s="16"/>
      <c r="L687" s="16"/>
      <c r="M687" s="16"/>
      <c r="N687" s="16"/>
      <c r="O687" s="16"/>
      <c r="S687" s="11"/>
      <c r="T687" s="11"/>
      <c r="U687" s="11"/>
      <c r="Y687" s="27"/>
      <c r="Z687" s="11"/>
      <c r="AE687" s="11"/>
      <c r="AH687" s="28"/>
      <c r="AI687" s="28"/>
      <c r="AJ687" s="12"/>
      <c r="AK687" s="29"/>
      <c r="AL687" s="12"/>
    </row>
    <row r="688" spans="9:38" x14ac:dyDescent="0.25">
      <c r="I688" s="15"/>
      <c r="K688" s="16"/>
      <c r="L688" s="16"/>
      <c r="M688" s="16"/>
      <c r="N688" s="16"/>
      <c r="O688" s="16"/>
      <c r="S688" s="11"/>
      <c r="T688" s="11"/>
      <c r="U688" s="11"/>
      <c r="Y688" s="27"/>
      <c r="Z688" s="11"/>
      <c r="AE688" s="11"/>
      <c r="AH688" s="28"/>
      <c r="AI688" s="28"/>
      <c r="AJ688" s="12"/>
      <c r="AK688" s="29"/>
      <c r="AL688" s="12"/>
    </row>
    <row r="689" spans="9:38" x14ac:dyDescent="0.25">
      <c r="I689" s="15"/>
      <c r="K689" s="16"/>
      <c r="L689" s="16"/>
      <c r="M689" s="16"/>
      <c r="N689" s="16"/>
      <c r="O689" s="16"/>
      <c r="S689" s="11"/>
      <c r="T689" s="11"/>
      <c r="U689" s="11"/>
      <c r="Y689" s="27"/>
      <c r="Z689" s="11"/>
      <c r="AE689" s="11"/>
      <c r="AH689" s="28"/>
      <c r="AI689" s="28"/>
      <c r="AJ689" s="12"/>
      <c r="AK689" s="29"/>
      <c r="AL689" s="12"/>
    </row>
    <row r="690" spans="9:38" x14ac:dyDescent="0.25">
      <c r="I690" s="15"/>
      <c r="K690" s="16"/>
      <c r="L690" s="16"/>
      <c r="M690" s="16"/>
      <c r="N690" s="16"/>
      <c r="O690" s="16"/>
      <c r="S690" s="11"/>
      <c r="T690" s="11"/>
      <c r="U690" s="11"/>
      <c r="Y690" s="27"/>
      <c r="Z690" s="11"/>
      <c r="AE690" s="11"/>
      <c r="AH690" s="28"/>
      <c r="AI690" s="28"/>
      <c r="AJ690" s="12"/>
      <c r="AK690" s="29"/>
      <c r="AL690" s="12"/>
    </row>
    <row r="691" spans="9:38" x14ac:dyDescent="0.25">
      <c r="I691" s="15"/>
      <c r="K691" s="16"/>
      <c r="L691" s="16"/>
      <c r="M691" s="16"/>
      <c r="N691" s="16"/>
      <c r="O691" s="16"/>
      <c r="S691" s="11"/>
      <c r="T691" s="11"/>
      <c r="U691" s="11"/>
      <c r="Y691" s="27"/>
      <c r="Z691" s="11"/>
      <c r="AE691" s="11"/>
      <c r="AH691" s="28"/>
      <c r="AI691" s="28"/>
      <c r="AJ691" s="12"/>
      <c r="AK691" s="29"/>
      <c r="AL691" s="12"/>
    </row>
    <row r="692" spans="9:38" x14ac:dyDescent="0.25">
      <c r="I692" s="15"/>
      <c r="K692" s="16"/>
      <c r="L692" s="16"/>
      <c r="M692" s="16"/>
      <c r="N692" s="16"/>
      <c r="O692" s="16"/>
      <c r="S692" s="11"/>
      <c r="T692" s="11"/>
      <c r="U692" s="11"/>
      <c r="Y692" s="27"/>
      <c r="Z692" s="11"/>
      <c r="AE692" s="11"/>
      <c r="AH692" s="28"/>
      <c r="AI692" s="28"/>
      <c r="AJ692" s="12"/>
      <c r="AK692" s="29"/>
      <c r="AL692" s="12"/>
    </row>
    <row r="693" spans="9:38" x14ac:dyDescent="0.25">
      <c r="I693" s="15"/>
      <c r="K693" s="16"/>
      <c r="L693" s="16"/>
      <c r="M693" s="16"/>
      <c r="N693" s="16"/>
      <c r="O693" s="16"/>
      <c r="S693" s="11"/>
      <c r="T693" s="11"/>
      <c r="U693" s="11"/>
      <c r="Y693" s="27"/>
      <c r="Z693" s="11"/>
      <c r="AE693" s="11"/>
      <c r="AH693" s="28"/>
      <c r="AI693" s="28"/>
      <c r="AJ693" s="12"/>
      <c r="AK693" s="29"/>
      <c r="AL693" s="12"/>
    </row>
    <row r="694" spans="9:38" x14ac:dyDescent="0.25">
      <c r="I694" s="15"/>
      <c r="K694" s="16"/>
      <c r="L694" s="16"/>
      <c r="M694" s="16"/>
      <c r="N694" s="16"/>
      <c r="O694" s="16"/>
      <c r="S694" s="11"/>
      <c r="T694" s="11"/>
      <c r="U694" s="11"/>
      <c r="Y694" s="27"/>
      <c r="Z694" s="11"/>
      <c r="AE694" s="11"/>
      <c r="AH694" s="28"/>
      <c r="AI694" s="28"/>
      <c r="AJ694" s="12"/>
      <c r="AK694" s="29"/>
      <c r="AL694" s="12"/>
    </row>
    <row r="695" spans="9:38" x14ac:dyDescent="0.25">
      <c r="I695" s="15"/>
      <c r="K695" s="16"/>
      <c r="L695" s="16"/>
      <c r="M695" s="16"/>
      <c r="N695" s="16"/>
      <c r="O695" s="16"/>
      <c r="S695" s="11"/>
      <c r="T695" s="11"/>
      <c r="U695" s="11"/>
      <c r="Y695" s="27"/>
      <c r="Z695" s="11"/>
      <c r="AE695" s="11"/>
      <c r="AH695" s="28"/>
      <c r="AI695" s="28"/>
      <c r="AJ695" s="12"/>
      <c r="AK695" s="29"/>
      <c r="AL695" s="12"/>
    </row>
    <row r="696" spans="9:38" x14ac:dyDescent="0.25">
      <c r="I696" s="15"/>
      <c r="K696" s="16"/>
      <c r="L696" s="16"/>
      <c r="M696" s="16"/>
      <c r="N696" s="16"/>
      <c r="O696" s="16"/>
      <c r="S696" s="11"/>
      <c r="T696" s="11"/>
      <c r="U696" s="11"/>
      <c r="Y696" s="27"/>
      <c r="Z696" s="11"/>
      <c r="AE696" s="11"/>
      <c r="AH696" s="28"/>
      <c r="AI696" s="28"/>
      <c r="AJ696" s="12"/>
      <c r="AK696" s="29"/>
      <c r="AL696" s="12"/>
    </row>
    <row r="697" spans="9:38" x14ac:dyDescent="0.25">
      <c r="I697" s="15"/>
      <c r="K697" s="16"/>
      <c r="L697" s="16"/>
      <c r="M697" s="16"/>
      <c r="N697" s="16"/>
      <c r="O697" s="16"/>
      <c r="S697" s="11"/>
      <c r="T697" s="11"/>
      <c r="U697" s="11"/>
      <c r="Y697" s="27"/>
      <c r="Z697" s="11"/>
      <c r="AE697" s="11"/>
      <c r="AH697" s="28"/>
      <c r="AI697" s="28"/>
      <c r="AJ697" s="12"/>
      <c r="AK697" s="29"/>
      <c r="AL697" s="12"/>
    </row>
    <row r="698" spans="9:38" x14ac:dyDescent="0.25">
      <c r="I698" s="15"/>
      <c r="K698" s="16"/>
      <c r="L698" s="16"/>
      <c r="M698" s="16"/>
      <c r="N698" s="16"/>
      <c r="O698" s="16"/>
      <c r="S698" s="11"/>
      <c r="T698" s="11"/>
      <c r="U698" s="11"/>
      <c r="Y698" s="27"/>
      <c r="Z698" s="11"/>
      <c r="AE698" s="11"/>
      <c r="AH698" s="28"/>
      <c r="AI698" s="28"/>
      <c r="AJ698" s="12"/>
      <c r="AK698" s="29"/>
      <c r="AL698" s="12"/>
    </row>
    <row r="699" spans="9:38" x14ac:dyDescent="0.25">
      <c r="I699" s="15"/>
      <c r="K699" s="16"/>
      <c r="L699" s="16"/>
      <c r="M699" s="16"/>
      <c r="N699" s="16"/>
      <c r="O699" s="16"/>
      <c r="S699" s="11"/>
      <c r="T699" s="11"/>
      <c r="U699" s="11"/>
      <c r="Y699" s="27"/>
      <c r="Z699" s="11"/>
      <c r="AE699" s="11"/>
      <c r="AH699" s="28"/>
      <c r="AI699" s="28"/>
      <c r="AJ699" s="12"/>
      <c r="AK699" s="29"/>
      <c r="AL699" s="12"/>
    </row>
    <row r="700" spans="9:38" x14ac:dyDescent="0.25">
      <c r="I700" s="15"/>
      <c r="K700" s="16"/>
      <c r="L700" s="16"/>
      <c r="M700" s="16"/>
      <c r="N700" s="16"/>
      <c r="O700" s="16"/>
      <c r="S700" s="11"/>
      <c r="T700" s="11"/>
      <c r="U700" s="11"/>
      <c r="Y700" s="27"/>
      <c r="Z700" s="11"/>
      <c r="AE700" s="11"/>
      <c r="AH700" s="28"/>
      <c r="AI700" s="28"/>
      <c r="AJ700" s="12"/>
      <c r="AK700" s="29"/>
      <c r="AL700" s="12"/>
    </row>
    <row r="701" spans="9:38" x14ac:dyDescent="0.25">
      <c r="I701" s="15"/>
      <c r="K701" s="16"/>
      <c r="L701" s="16"/>
      <c r="M701" s="16"/>
      <c r="N701" s="16"/>
      <c r="O701" s="16"/>
      <c r="S701" s="11"/>
      <c r="T701" s="11"/>
      <c r="U701" s="11"/>
      <c r="Y701" s="27"/>
      <c r="Z701" s="11"/>
      <c r="AE701" s="11"/>
      <c r="AH701" s="28"/>
      <c r="AI701" s="28"/>
      <c r="AJ701" s="12"/>
      <c r="AK701" s="29"/>
      <c r="AL701" s="12"/>
    </row>
    <row r="702" spans="9:38" x14ac:dyDescent="0.25">
      <c r="I702" s="15"/>
      <c r="K702" s="16"/>
      <c r="L702" s="16"/>
      <c r="M702" s="16"/>
      <c r="N702" s="16"/>
      <c r="O702" s="16"/>
      <c r="S702" s="11"/>
      <c r="T702" s="11"/>
      <c r="U702" s="11"/>
      <c r="Y702" s="27"/>
      <c r="Z702" s="11"/>
      <c r="AE702" s="11"/>
      <c r="AH702" s="28"/>
      <c r="AI702" s="28"/>
      <c r="AJ702" s="12"/>
      <c r="AK702" s="29"/>
      <c r="AL702" s="12"/>
    </row>
    <row r="703" spans="9:38" x14ac:dyDescent="0.25">
      <c r="I703" s="15"/>
      <c r="K703" s="16"/>
      <c r="L703" s="16"/>
      <c r="M703" s="16"/>
      <c r="N703" s="16"/>
      <c r="O703" s="16"/>
      <c r="S703" s="11"/>
      <c r="T703" s="11"/>
      <c r="U703" s="11"/>
      <c r="Y703" s="27"/>
      <c r="Z703" s="11"/>
      <c r="AE703" s="11"/>
      <c r="AH703" s="28"/>
      <c r="AI703" s="28"/>
      <c r="AJ703" s="12"/>
      <c r="AK703" s="29"/>
      <c r="AL703" s="12"/>
    </row>
    <row r="704" spans="9:38" x14ac:dyDescent="0.25">
      <c r="I704" s="15"/>
      <c r="K704" s="16"/>
      <c r="L704" s="16"/>
      <c r="M704" s="16"/>
      <c r="N704" s="16"/>
      <c r="O704" s="16"/>
      <c r="S704" s="11"/>
      <c r="T704" s="11"/>
      <c r="U704" s="11"/>
      <c r="Y704" s="27"/>
      <c r="Z704" s="11"/>
      <c r="AE704" s="11"/>
      <c r="AH704" s="28"/>
      <c r="AI704" s="28"/>
      <c r="AJ704" s="12"/>
      <c r="AK704" s="29"/>
      <c r="AL704" s="12"/>
    </row>
    <row r="705" spans="9:38" x14ac:dyDescent="0.25">
      <c r="I705" s="15"/>
      <c r="K705" s="16"/>
      <c r="L705" s="16"/>
      <c r="M705" s="16"/>
      <c r="N705" s="16"/>
      <c r="O705" s="16"/>
      <c r="S705" s="11"/>
      <c r="T705" s="11"/>
      <c r="U705" s="11"/>
      <c r="Y705" s="27"/>
      <c r="Z705" s="11"/>
      <c r="AE705" s="11"/>
      <c r="AH705" s="28"/>
      <c r="AI705" s="28"/>
      <c r="AJ705" s="12"/>
      <c r="AK705" s="29"/>
      <c r="AL705" s="12"/>
    </row>
    <row r="706" spans="9:38" x14ac:dyDescent="0.25">
      <c r="I706" s="15"/>
      <c r="K706" s="16"/>
      <c r="L706" s="16"/>
      <c r="M706" s="16"/>
      <c r="N706" s="16"/>
      <c r="O706" s="16"/>
      <c r="S706" s="11"/>
      <c r="T706" s="11"/>
      <c r="U706" s="11"/>
      <c r="Y706" s="27"/>
      <c r="Z706" s="11"/>
      <c r="AE706" s="11"/>
      <c r="AH706" s="28"/>
      <c r="AI706" s="28"/>
      <c r="AJ706" s="12"/>
      <c r="AK706" s="29"/>
      <c r="AL706" s="12"/>
    </row>
    <row r="707" spans="9:38" x14ac:dyDescent="0.25">
      <c r="I707" s="15"/>
      <c r="K707" s="16"/>
      <c r="L707" s="16"/>
      <c r="M707" s="16"/>
      <c r="N707" s="16"/>
      <c r="O707" s="16"/>
      <c r="S707" s="11"/>
      <c r="T707" s="11"/>
      <c r="U707" s="11"/>
      <c r="Y707" s="27"/>
      <c r="Z707" s="11"/>
      <c r="AE707" s="11"/>
      <c r="AH707" s="28"/>
      <c r="AI707" s="28"/>
      <c r="AJ707" s="12"/>
      <c r="AK707" s="29"/>
      <c r="AL707" s="12"/>
    </row>
    <row r="708" spans="9:38" x14ac:dyDescent="0.25">
      <c r="I708" s="15"/>
      <c r="K708" s="16"/>
      <c r="L708" s="16"/>
      <c r="M708" s="16"/>
      <c r="N708" s="16"/>
      <c r="O708" s="16"/>
      <c r="S708" s="11"/>
      <c r="T708" s="11"/>
      <c r="U708" s="11"/>
      <c r="Y708" s="27"/>
      <c r="Z708" s="11"/>
      <c r="AE708" s="11"/>
      <c r="AH708" s="28"/>
      <c r="AI708" s="28"/>
      <c r="AJ708" s="12"/>
      <c r="AK708" s="29"/>
      <c r="AL708" s="12"/>
    </row>
    <row r="709" spans="9:38" x14ac:dyDescent="0.25">
      <c r="I709" s="15"/>
      <c r="K709" s="16"/>
      <c r="L709" s="16"/>
      <c r="M709" s="16"/>
      <c r="N709" s="16"/>
      <c r="O709" s="16"/>
      <c r="S709" s="11"/>
      <c r="T709" s="11"/>
      <c r="U709" s="11"/>
      <c r="Y709" s="27"/>
      <c r="Z709" s="11"/>
      <c r="AE709" s="11"/>
      <c r="AH709" s="28"/>
      <c r="AI709" s="28"/>
      <c r="AJ709" s="12"/>
      <c r="AK709" s="29"/>
      <c r="AL709" s="12"/>
    </row>
    <row r="710" spans="9:38" x14ac:dyDescent="0.25">
      <c r="I710" s="15"/>
      <c r="K710" s="16"/>
      <c r="L710" s="16"/>
      <c r="M710" s="16"/>
      <c r="N710" s="16"/>
      <c r="O710" s="16"/>
      <c r="S710" s="11"/>
      <c r="T710" s="11"/>
      <c r="U710" s="11"/>
      <c r="Y710" s="27"/>
      <c r="Z710" s="11"/>
      <c r="AE710" s="11"/>
      <c r="AH710" s="28"/>
      <c r="AI710" s="28"/>
      <c r="AJ710" s="12"/>
      <c r="AK710" s="29"/>
      <c r="AL710" s="12"/>
    </row>
    <row r="711" spans="9:38" x14ac:dyDescent="0.25">
      <c r="I711" s="15"/>
      <c r="K711" s="16"/>
      <c r="L711" s="16"/>
      <c r="M711" s="16"/>
      <c r="N711" s="16"/>
      <c r="O711" s="16"/>
      <c r="S711" s="11"/>
      <c r="T711" s="11"/>
      <c r="U711" s="11"/>
      <c r="Y711" s="27"/>
      <c r="Z711" s="11"/>
      <c r="AE711" s="11"/>
      <c r="AH711" s="28"/>
      <c r="AI711" s="28"/>
      <c r="AJ711" s="12"/>
      <c r="AK711" s="29"/>
      <c r="AL711" s="12"/>
    </row>
    <row r="712" spans="9:38" x14ac:dyDescent="0.25">
      <c r="I712" s="15"/>
      <c r="K712" s="16"/>
      <c r="L712" s="16"/>
      <c r="M712" s="16"/>
      <c r="N712" s="16"/>
      <c r="O712" s="16"/>
      <c r="S712" s="11"/>
      <c r="T712" s="11"/>
      <c r="U712" s="11"/>
      <c r="Y712" s="27"/>
      <c r="Z712" s="11"/>
      <c r="AE712" s="11"/>
      <c r="AH712" s="28"/>
      <c r="AI712" s="28"/>
      <c r="AJ712" s="12"/>
      <c r="AK712" s="29"/>
      <c r="AL712" s="12"/>
    </row>
    <row r="713" spans="9:38" x14ac:dyDescent="0.25">
      <c r="I713" s="15"/>
      <c r="K713" s="16"/>
      <c r="L713" s="16"/>
      <c r="M713" s="16"/>
      <c r="N713" s="16"/>
      <c r="O713" s="16"/>
      <c r="S713" s="11"/>
      <c r="T713" s="11"/>
      <c r="U713" s="11"/>
      <c r="Y713" s="27"/>
      <c r="Z713" s="11"/>
      <c r="AE713" s="11"/>
      <c r="AH713" s="28"/>
      <c r="AI713" s="28"/>
      <c r="AJ713" s="12"/>
      <c r="AK713" s="29"/>
      <c r="AL713" s="12"/>
    </row>
    <row r="714" spans="9:38" x14ac:dyDescent="0.25">
      <c r="I714" s="15"/>
      <c r="K714" s="16"/>
      <c r="L714" s="16"/>
      <c r="M714" s="16"/>
      <c r="N714" s="16"/>
      <c r="O714" s="16"/>
      <c r="S714" s="11"/>
      <c r="T714" s="11"/>
      <c r="U714" s="11"/>
      <c r="Y714" s="27"/>
      <c r="Z714" s="11"/>
      <c r="AE714" s="11"/>
      <c r="AH714" s="28"/>
      <c r="AI714" s="28"/>
      <c r="AJ714" s="12"/>
      <c r="AK714" s="29"/>
      <c r="AL714" s="12"/>
    </row>
    <row r="715" spans="9:38" x14ac:dyDescent="0.25">
      <c r="I715" s="15"/>
      <c r="K715" s="16"/>
      <c r="L715" s="16"/>
      <c r="M715" s="16"/>
      <c r="N715" s="16"/>
      <c r="O715" s="16"/>
      <c r="S715" s="11"/>
      <c r="T715" s="11"/>
      <c r="U715" s="11"/>
      <c r="Y715" s="27"/>
      <c r="Z715" s="11"/>
      <c r="AE715" s="11"/>
      <c r="AH715" s="28"/>
      <c r="AI715" s="28"/>
      <c r="AJ715" s="12"/>
      <c r="AK715" s="29"/>
      <c r="AL715" s="12"/>
    </row>
    <row r="716" spans="9:38" x14ac:dyDescent="0.25">
      <c r="I716" s="15"/>
      <c r="K716" s="16"/>
      <c r="L716" s="16"/>
      <c r="M716" s="16"/>
      <c r="N716" s="16"/>
      <c r="O716" s="16"/>
      <c r="S716" s="11"/>
      <c r="T716" s="11"/>
      <c r="U716" s="11"/>
      <c r="Y716" s="27"/>
      <c r="Z716" s="11"/>
      <c r="AE716" s="11"/>
      <c r="AH716" s="28"/>
      <c r="AI716" s="28"/>
      <c r="AJ716" s="12"/>
      <c r="AK716" s="29"/>
      <c r="AL716" s="12"/>
    </row>
    <row r="717" spans="9:38" x14ac:dyDescent="0.25">
      <c r="I717" s="15"/>
      <c r="K717" s="16"/>
      <c r="L717" s="16"/>
      <c r="M717" s="16"/>
      <c r="N717" s="16"/>
      <c r="O717" s="16"/>
      <c r="S717" s="11"/>
      <c r="T717" s="11"/>
      <c r="U717" s="11"/>
      <c r="Y717" s="27"/>
      <c r="Z717" s="11"/>
      <c r="AE717" s="11"/>
      <c r="AH717" s="28"/>
      <c r="AI717" s="28"/>
      <c r="AJ717" s="12"/>
      <c r="AK717" s="29"/>
      <c r="AL717" s="12"/>
    </row>
    <row r="718" spans="9:38" x14ac:dyDescent="0.25">
      <c r="I718" s="15"/>
      <c r="K718" s="16"/>
      <c r="L718" s="16"/>
      <c r="M718" s="16"/>
      <c r="N718" s="16"/>
      <c r="O718" s="16"/>
      <c r="S718" s="11"/>
      <c r="T718" s="11"/>
      <c r="U718" s="11"/>
      <c r="Y718" s="27"/>
      <c r="Z718" s="11"/>
      <c r="AE718" s="11"/>
      <c r="AH718" s="28"/>
      <c r="AI718" s="28"/>
      <c r="AJ718" s="12"/>
      <c r="AK718" s="29"/>
      <c r="AL718" s="12"/>
    </row>
    <row r="719" spans="9:38" x14ac:dyDescent="0.25">
      <c r="I719" s="15"/>
      <c r="K719" s="16"/>
      <c r="L719" s="16"/>
      <c r="M719" s="16"/>
      <c r="N719" s="16"/>
      <c r="O719" s="16"/>
      <c r="S719" s="11"/>
      <c r="T719" s="11"/>
      <c r="U719" s="11"/>
      <c r="Y719" s="27"/>
      <c r="Z719" s="11"/>
      <c r="AE719" s="11"/>
      <c r="AH719" s="28"/>
      <c r="AI719" s="28"/>
      <c r="AJ719" s="12"/>
      <c r="AK719" s="29"/>
      <c r="AL719" s="12"/>
    </row>
    <row r="720" spans="9:38" x14ac:dyDescent="0.25">
      <c r="I720" s="15"/>
      <c r="K720" s="16"/>
      <c r="L720" s="16"/>
      <c r="M720" s="16"/>
      <c r="N720" s="16"/>
      <c r="O720" s="16"/>
      <c r="S720" s="11"/>
      <c r="T720" s="11"/>
      <c r="U720" s="11"/>
      <c r="Y720" s="27"/>
      <c r="Z720" s="11"/>
      <c r="AE720" s="11"/>
      <c r="AH720" s="28"/>
      <c r="AI720" s="28"/>
      <c r="AJ720" s="12"/>
      <c r="AK720" s="29"/>
      <c r="AL720" s="12"/>
    </row>
    <row r="721" spans="9:38" x14ac:dyDescent="0.25">
      <c r="I721" s="15"/>
      <c r="K721" s="16"/>
      <c r="L721" s="16"/>
      <c r="M721" s="16"/>
      <c r="N721" s="16"/>
      <c r="O721" s="16"/>
      <c r="S721" s="11"/>
      <c r="T721" s="11"/>
      <c r="U721" s="11"/>
      <c r="Y721" s="27"/>
      <c r="Z721" s="11"/>
      <c r="AE721" s="11"/>
      <c r="AH721" s="28"/>
      <c r="AI721" s="28"/>
      <c r="AJ721" s="12"/>
      <c r="AK721" s="29"/>
      <c r="AL721" s="12"/>
    </row>
    <row r="722" spans="9:38" x14ac:dyDescent="0.25">
      <c r="I722" s="15"/>
      <c r="K722" s="16"/>
      <c r="L722" s="16"/>
      <c r="M722" s="16"/>
      <c r="N722" s="16"/>
      <c r="O722" s="16"/>
      <c r="S722" s="11"/>
      <c r="T722" s="11"/>
      <c r="U722" s="11"/>
      <c r="Y722" s="27"/>
      <c r="Z722" s="11"/>
      <c r="AE722" s="11"/>
      <c r="AH722" s="28"/>
      <c r="AI722" s="28"/>
      <c r="AJ722" s="12"/>
      <c r="AK722" s="29"/>
      <c r="AL722" s="12"/>
    </row>
    <row r="723" spans="9:38" x14ac:dyDescent="0.25">
      <c r="I723" s="15"/>
      <c r="K723" s="16"/>
      <c r="L723" s="16"/>
      <c r="M723" s="16"/>
      <c r="N723" s="16"/>
      <c r="O723" s="16"/>
      <c r="S723" s="11"/>
      <c r="T723" s="11"/>
      <c r="U723" s="11"/>
      <c r="Y723" s="27"/>
      <c r="Z723" s="11"/>
      <c r="AE723" s="11"/>
      <c r="AH723" s="28"/>
      <c r="AI723" s="28"/>
      <c r="AJ723" s="12"/>
      <c r="AK723" s="29"/>
      <c r="AL723" s="12"/>
    </row>
    <row r="724" spans="9:38" x14ac:dyDescent="0.25">
      <c r="I724" s="15"/>
      <c r="K724" s="16"/>
      <c r="L724" s="16"/>
      <c r="M724" s="16"/>
      <c r="N724" s="16"/>
      <c r="O724" s="16"/>
      <c r="S724" s="11"/>
      <c r="T724" s="11"/>
      <c r="U724" s="11"/>
      <c r="Y724" s="27"/>
      <c r="Z724" s="11"/>
      <c r="AE724" s="11"/>
      <c r="AH724" s="28"/>
      <c r="AI724" s="28"/>
      <c r="AJ724" s="12"/>
      <c r="AK724" s="29"/>
      <c r="AL724" s="12"/>
    </row>
    <row r="725" spans="9:38" x14ac:dyDescent="0.25">
      <c r="I725" s="15"/>
      <c r="K725" s="16"/>
      <c r="L725" s="16"/>
      <c r="M725" s="16"/>
      <c r="N725" s="16"/>
      <c r="O725" s="16"/>
      <c r="S725" s="11"/>
      <c r="T725" s="11"/>
      <c r="U725" s="11"/>
      <c r="Y725" s="27"/>
      <c r="Z725" s="11"/>
      <c r="AE725" s="11"/>
      <c r="AH725" s="28"/>
      <c r="AI725" s="28"/>
      <c r="AJ725" s="12"/>
      <c r="AK725" s="29"/>
      <c r="AL725" s="12"/>
    </row>
    <row r="726" spans="9:38" x14ac:dyDescent="0.25">
      <c r="I726" s="15"/>
      <c r="K726" s="16"/>
      <c r="L726" s="16"/>
      <c r="M726" s="16"/>
      <c r="N726" s="16"/>
      <c r="O726" s="16"/>
      <c r="S726" s="11"/>
      <c r="T726" s="11"/>
      <c r="U726" s="11"/>
      <c r="Y726" s="27"/>
      <c r="Z726" s="11"/>
      <c r="AE726" s="11"/>
      <c r="AH726" s="28"/>
      <c r="AI726" s="28"/>
      <c r="AJ726" s="12"/>
      <c r="AK726" s="29"/>
      <c r="AL726" s="12"/>
    </row>
    <row r="727" spans="9:38" x14ac:dyDescent="0.25">
      <c r="I727" s="15"/>
      <c r="K727" s="16"/>
      <c r="L727" s="16"/>
      <c r="M727" s="16"/>
      <c r="N727" s="16"/>
      <c r="O727" s="16"/>
      <c r="S727" s="11"/>
      <c r="T727" s="11"/>
      <c r="U727" s="11"/>
      <c r="Y727" s="27"/>
      <c r="Z727" s="11"/>
      <c r="AE727" s="11"/>
      <c r="AH727" s="28"/>
      <c r="AI727" s="28"/>
      <c r="AJ727" s="12"/>
      <c r="AK727" s="29"/>
      <c r="AL727" s="12"/>
    </row>
    <row r="728" spans="9:38" x14ac:dyDescent="0.25">
      <c r="I728" s="15"/>
      <c r="K728" s="16"/>
      <c r="L728" s="16"/>
      <c r="M728" s="16"/>
      <c r="N728" s="16"/>
      <c r="O728" s="16"/>
      <c r="S728" s="11"/>
      <c r="T728" s="11"/>
      <c r="U728" s="11"/>
      <c r="Y728" s="27"/>
      <c r="Z728" s="11"/>
      <c r="AE728" s="11"/>
      <c r="AH728" s="28"/>
      <c r="AI728" s="28"/>
      <c r="AJ728" s="12"/>
      <c r="AK728" s="29"/>
      <c r="AL728" s="12"/>
    </row>
    <row r="729" spans="9:38" x14ac:dyDescent="0.25">
      <c r="I729" s="15"/>
      <c r="K729" s="16"/>
      <c r="L729" s="16"/>
      <c r="M729" s="16"/>
      <c r="N729" s="16"/>
      <c r="O729" s="16"/>
      <c r="S729" s="11"/>
      <c r="T729" s="11"/>
      <c r="U729" s="11"/>
      <c r="Y729" s="27"/>
      <c r="Z729" s="11"/>
      <c r="AE729" s="11"/>
      <c r="AH729" s="28"/>
      <c r="AI729" s="28"/>
      <c r="AJ729" s="12"/>
      <c r="AK729" s="29"/>
      <c r="AL729" s="12"/>
    </row>
    <row r="730" spans="9:38" x14ac:dyDescent="0.25">
      <c r="I730" s="15"/>
      <c r="K730" s="16"/>
      <c r="L730" s="16"/>
      <c r="M730" s="16"/>
      <c r="N730" s="16"/>
      <c r="O730" s="16"/>
      <c r="S730" s="11"/>
      <c r="T730" s="11"/>
      <c r="U730" s="11"/>
      <c r="Y730" s="27"/>
      <c r="Z730" s="11"/>
      <c r="AE730" s="11"/>
      <c r="AH730" s="28"/>
      <c r="AI730" s="28"/>
      <c r="AJ730" s="12"/>
      <c r="AK730" s="29"/>
      <c r="AL730" s="12"/>
    </row>
    <row r="731" spans="9:38" x14ac:dyDescent="0.25">
      <c r="I731" s="15"/>
      <c r="K731" s="16"/>
      <c r="L731" s="16"/>
      <c r="M731" s="16"/>
      <c r="N731" s="16"/>
      <c r="O731" s="16"/>
      <c r="S731" s="11"/>
      <c r="T731" s="11"/>
      <c r="U731" s="11"/>
      <c r="Y731" s="27"/>
      <c r="Z731" s="11"/>
      <c r="AE731" s="11"/>
      <c r="AH731" s="28"/>
      <c r="AI731" s="28"/>
      <c r="AJ731" s="12"/>
      <c r="AK731" s="29"/>
      <c r="AL731" s="12"/>
    </row>
    <row r="732" spans="9:38" x14ac:dyDescent="0.25">
      <c r="I732" s="15"/>
      <c r="K732" s="16"/>
      <c r="L732" s="16"/>
      <c r="M732" s="16"/>
      <c r="N732" s="16"/>
      <c r="O732" s="16"/>
      <c r="S732" s="11"/>
      <c r="T732" s="11"/>
      <c r="U732" s="11"/>
      <c r="Y732" s="27"/>
      <c r="Z732" s="11"/>
      <c r="AE732" s="11"/>
      <c r="AH732" s="28"/>
      <c r="AI732" s="28"/>
      <c r="AJ732" s="12"/>
      <c r="AK732" s="29"/>
      <c r="AL732" s="12"/>
    </row>
    <row r="733" spans="9:38" x14ac:dyDescent="0.25">
      <c r="I733" s="15"/>
      <c r="K733" s="16"/>
      <c r="L733" s="16"/>
      <c r="M733" s="16"/>
      <c r="N733" s="16"/>
      <c r="O733" s="16"/>
      <c r="S733" s="11"/>
      <c r="T733" s="11"/>
      <c r="U733" s="11"/>
      <c r="Y733" s="27"/>
      <c r="Z733" s="11"/>
      <c r="AE733" s="11"/>
      <c r="AH733" s="28"/>
      <c r="AI733" s="28"/>
      <c r="AJ733" s="12"/>
      <c r="AK733" s="29"/>
      <c r="AL733" s="12"/>
    </row>
    <row r="734" spans="9:38" x14ac:dyDescent="0.25">
      <c r="I734" s="15"/>
      <c r="K734" s="16"/>
      <c r="L734" s="16"/>
      <c r="M734" s="16"/>
      <c r="N734" s="16"/>
      <c r="O734" s="16"/>
      <c r="S734" s="11"/>
      <c r="T734" s="11"/>
      <c r="U734" s="11"/>
      <c r="Y734" s="27"/>
      <c r="Z734" s="11"/>
      <c r="AE734" s="11"/>
      <c r="AH734" s="28"/>
      <c r="AI734" s="28"/>
      <c r="AJ734" s="12"/>
      <c r="AK734" s="29"/>
      <c r="AL734" s="12"/>
    </row>
    <row r="735" spans="9:38" x14ac:dyDescent="0.25">
      <c r="I735" s="15"/>
      <c r="K735" s="16"/>
      <c r="L735" s="16"/>
      <c r="M735" s="16"/>
      <c r="N735" s="16"/>
      <c r="O735" s="16"/>
      <c r="S735" s="11"/>
      <c r="T735" s="11"/>
      <c r="U735" s="11"/>
      <c r="Y735" s="27"/>
      <c r="Z735" s="11"/>
      <c r="AE735" s="11"/>
      <c r="AH735" s="28"/>
      <c r="AI735" s="28"/>
      <c r="AJ735" s="12"/>
      <c r="AK735" s="29"/>
      <c r="AL735" s="12"/>
    </row>
    <row r="736" spans="9:38" x14ac:dyDescent="0.25">
      <c r="I736" s="15"/>
      <c r="K736" s="16"/>
      <c r="L736" s="16"/>
      <c r="M736" s="16"/>
      <c r="N736" s="16"/>
      <c r="O736" s="16"/>
      <c r="S736" s="11"/>
      <c r="T736" s="11"/>
      <c r="U736" s="11"/>
      <c r="Y736" s="27"/>
      <c r="Z736" s="11"/>
      <c r="AE736" s="11"/>
      <c r="AH736" s="28"/>
      <c r="AI736" s="28"/>
      <c r="AJ736" s="12"/>
      <c r="AK736" s="29"/>
      <c r="AL736" s="12"/>
    </row>
    <row r="737" spans="9:38" x14ac:dyDescent="0.25">
      <c r="I737" s="15"/>
      <c r="K737" s="16"/>
      <c r="L737" s="16"/>
      <c r="M737" s="16"/>
      <c r="N737" s="16"/>
      <c r="O737" s="16"/>
      <c r="S737" s="11"/>
      <c r="T737" s="11"/>
      <c r="U737" s="11"/>
      <c r="Y737" s="27"/>
      <c r="Z737" s="11"/>
      <c r="AE737" s="11"/>
      <c r="AH737" s="28"/>
      <c r="AI737" s="28"/>
      <c r="AJ737" s="12"/>
      <c r="AK737" s="29"/>
      <c r="AL737" s="12"/>
    </row>
    <row r="738" spans="9:38" x14ac:dyDescent="0.25">
      <c r="I738" s="15"/>
      <c r="K738" s="16"/>
      <c r="L738" s="16"/>
      <c r="M738" s="16"/>
      <c r="N738" s="16"/>
      <c r="O738" s="16"/>
      <c r="S738" s="11"/>
      <c r="T738" s="11"/>
      <c r="U738" s="11"/>
      <c r="Y738" s="27"/>
      <c r="Z738" s="11"/>
      <c r="AE738" s="11"/>
      <c r="AH738" s="28"/>
      <c r="AI738" s="28"/>
      <c r="AJ738" s="12"/>
      <c r="AK738" s="29"/>
      <c r="AL738" s="12"/>
    </row>
    <row r="739" spans="9:38" x14ac:dyDescent="0.25">
      <c r="I739" s="15"/>
      <c r="K739" s="16"/>
      <c r="L739" s="16"/>
      <c r="M739" s="16"/>
      <c r="N739" s="16"/>
      <c r="O739" s="16"/>
      <c r="S739" s="11"/>
      <c r="T739" s="11"/>
      <c r="U739" s="11"/>
      <c r="Y739" s="27"/>
      <c r="Z739" s="11"/>
      <c r="AE739" s="11"/>
      <c r="AH739" s="28"/>
      <c r="AI739" s="28"/>
      <c r="AJ739" s="12"/>
      <c r="AK739" s="29"/>
      <c r="AL739" s="12"/>
    </row>
    <row r="740" spans="9:38" x14ac:dyDescent="0.25">
      <c r="I740" s="15"/>
      <c r="K740" s="16"/>
      <c r="L740" s="16"/>
      <c r="M740" s="16"/>
      <c r="N740" s="16"/>
      <c r="O740" s="16"/>
      <c r="S740" s="11"/>
      <c r="T740" s="11"/>
      <c r="U740" s="11"/>
      <c r="Y740" s="27"/>
      <c r="Z740" s="11"/>
      <c r="AE740" s="11"/>
      <c r="AH740" s="28"/>
      <c r="AI740" s="28"/>
      <c r="AJ740" s="12"/>
      <c r="AK740" s="29"/>
      <c r="AL740" s="12"/>
    </row>
    <row r="741" spans="9:38" x14ac:dyDescent="0.25">
      <c r="I741" s="15"/>
      <c r="K741" s="16"/>
      <c r="L741" s="16"/>
      <c r="M741" s="16"/>
      <c r="N741" s="16"/>
      <c r="O741" s="16"/>
      <c r="S741" s="11"/>
      <c r="T741" s="11"/>
      <c r="U741" s="11"/>
      <c r="Y741" s="27"/>
      <c r="Z741" s="11"/>
      <c r="AE741" s="11"/>
      <c r="AH741" s="28"/>
      <c r="AI741" s="28"/>
      <c r="AJ741" s="12"/>
      <c r="AK741" s="29"/>
      <c r="AL741" s="12"/>
    </row>
    <row r="742" spans="9:38" x14ac:dyDescent="0.25">
      <c r="I742" s="15"/>
      <c r="K742" s="16"/>
      <c r="L742" s="16"/>
      <c r="M742" s="16"/>
      <c r="N742" s="16"/>
      <c r="O742" s="16"/>
      <c r="S742" s="11"/>
      <c r="T742" s="11"/>
      <c r="U742" s="11"/>
      <c r="Y742" s="27"/>
      <c r="Z742" s="11"/>
      <c r="AE742" s="11"/>
      <c r="AH742" s="28"/>
      <c r="AI742" s="28"/>
      <c r="AJ742" s="12"/>
      <c r="AK742" s="29"/>
      <c r="AL742" s="12"/>
    </row>
    <row r="743" spans="9:38" x14ac:dyDescent="0.25">
      <c r="I743" s="15"/>
      <c r="K743" s="16"/>
      <c r="L743" s="16"/>
      <c r="M743" s="16"/>
      <c r="N743" s="16"/>
      <c r="O743" s="16"/>
      <c r="S743" s="11"/>
      <c r="T743" s="11"/>
      <c r="U743" s="11"/>
      <c r="Y743" s="27"/>
      <c r="Z743" s="11"/>
      <c r="AE743" s="11"/>
      <c r="AH743" s="28"/>
      <c r="AI743" s="28"/>
      <c r="AJ743" s="12"/>
      <c r="AK743" s="29"/>
      <c r="AL743" s="12"/>
    </row>
    <row r="744" spans="9:38" x14ac:dyDescent="0.25">
      <c r="I744" s="15"/>
      <c r="K744" s="16"/>
      <c r="L744" s="16"/>
      <c r="M744" s="16"/>
      <c r="N744" s="16"/>
      <c r="O744" s="16"/>
      <c r="S744" s="11"/>
      <c r="T744" s="11"/>
      <c r="U744" s="11"/>
      <c r="Y744" s="27"/>
      <c r="Z744" s="11"/>
      <c r="AE744" s="11"/>
      <c r="AH744" s="28"/>
      <c r="AI744" s="28"/>
      <c r="AJ744" s="12"/>
      <c r="AK744" s="29"/>
      <c r="AL744" s="12"/>
    </row>
    <row r="745" spans="9:38" x14ac:dyDescent="0.25">
      <c r="I745" s="15"/>
      <c r="K745" s="16"/>
      <c r="L745" s="16"/>
      <c r="M745" s="16"/>
      <c r="N745" s="16"/>
      <c r="O745" s="16"/>
      <c r="S745" s="11"/>
      <c r="T745" s="11"/>
      <c r="U745" s="11"/>
      <c r="Y745" s="27"/>
      <c r="Z745" s="11"/>
      <c r="AE745" s="11"/>
      <c r="AH745" s="28"/>
      <c r="AI745" s="28"/>
      <c r="AJ745" s="12"/>
      <c r="AK745" s="29"/>
      <c r="AL745" s="12"/>
    </row>
    <row r="746" spans="9:38" x14ac:dyDescent="0.25">
      <c r="I746" s="15"/>
      <c r="K746" s="16"/>
      <c r="L746" s="16"/>
      <c r="M746" s="16"/>
      <c r="N746" s="16"/>
      <c r="O746" s="16"/>
      <c r="S746" s="11"/>
      <c r="T746" s="11"/>
      <c r="U746" s="11"/>
      <c r="Y746" s="27"/>
      <c r="Z746" s="11"/>
      <c r="AE746" s="11"/>
      <c r="AH746" s="28"/>
      <c r="AI746" s="28"/>
      <c r="AJ746" s="12"/>
      <c r="AK746" s="29"/>
      <c r="AL746" s="12"/>
    </row>
    <row r="747" spans="9:38" x14ac:dyDescent="0.25">
      <c r="I747" s="15"/>
      <c r="K747" s="16"/>
      <c r="L747" s="16"/>
      <c r="M747" s="16"/>
      <c r="N747" s="16"/>
      <c r="O747" s="16"/>
      <c r="S747" s="11"/>
      <c r="T747" s="11"/>
      <c r="U747" s="11"/>
      <c r="Y747" s="27"/>
      <c r="Z747" s="11"/>
      <c r="AE747" s="11"/>
      <c r="AH747" s="28"/>
      <c r="AI747" s="28"/>
      <c r="AJ747" s="12"/>
      <c r="AK747" s="29"/>
      <c r="AL747" s="12"/>
    </row>
    <row r="748" spans="9:38" x14ac:dyDescent="0.25">
      <c r="I748" s="15"/>
      <c r="K748" s="16"/>
      <c r="L748" s="16"/>
      <c r="M748" s="16"/>
      <c r="N748" s="16"/>
      <c r="O748" s="16"/>
      <c r="S748" s="11"/>
      <c r="T748" s="11"/>
      <c r="U748" s="11"/>
      <c r="Y748" s="27"/>
      <c r="Z748" s="11"/>
      <c r="AE748" s="11"/>
      <c r="AH748" s="28"/>
      <c r="AI748" s="28"/>
      <c r="AJ748" s="12"/>
      <c r="AK748" s="29"/>
      <c r="AL748" s="12"/>
    </row>
    <row r="749" spans="9:38" x14ac:dyDescent="0.25">
      <c r="I749" s="15"/>
      <c r="K749" s="16"/>
      <c r="L749" s="16"/>
      <c r="M749" s="16"/>
      <c r="N749" s="16"/>
      <c r="O749" s="16"/>
      <c r="S749" s="11"/>
      <c r="T749" s="11"/>
      <c r="U749" s="11"/>
      <c r="Y749" s="27"/>
      <c r="Z749" s="11"/>
      <c r="AE749" s="11"/>
      <c r="AH749" s="28"/>
      <c r="AI749" s="28"/>
      <c r="AJ749" s="12"/>
      <c r="AK749" s="29"/>
      <c r="AL749" s="12"/>
    </row>
    <row r="750" spans="9:38" x14ac:dyDescent="0.25">
      <c r="I750" s="15"/>
      <c r="K750" s="16"/>
      <c r="L750" s="16"/>
      <c r="M750" s="16"/>
      <c r="N750" s="16"/>
      <c r="O750" s="16"/>
      <c r="S750" s="11"/>
      <c r="T750" s="11"/>
      <c r="U750" s="11"/>
      <c r="Y750" s="27"/>
      <c r="Z750" s="11"/>
      <c r="AE750" s="11"/>
      <c r="AH750" s="28"/>
      <c r="AI750" s="28"/>
      <c r="AJ750" s="12"/>
      <c r="AK750" s="29"/>
      <c r="AL750" s="12"/>
    </row>
    <row r="751" spans="9:38" x14ac:dyDescent="0.25">
      <c r="I751" s="15"/>
      <c r="K751" s="16"/>
      <c r="L751" s="16"/>
      <c r="M751" s="16"/>
      <c r="N751" s="16"/>
      <c r="O751" s="16"/>
      <c r="S751" s="11"/>
      <c r="T751" s="11"/>
      <c r="U751" s="11"/>
      <c r="Y751" s="27"/>
      <c r="Z751" s="11"/>
      <c r="AE751" s="11"/>
      <c r="AH751" s="28"/>
      <c r="AI751" s="28"/>
      <c r="AJ751" s="12"/>
      <c r="AK751" s="29"/>
      <c r="AL751" s="12"/>
    </row>
    <row r="752" spans="9:38" x14ac:dyDescent="0.25">
      <c r="I752" s="15"/>
      <c r="K752" s="16"/>
      <c r="L752" s="16"/>
      <c r="M752" s="16"/>
      <c r="N752" s="16"/>
      <c r="O752" s="16"/>
      <c r="S752" s="11"/>
      <c r="T752" s="11"/>
      <c r="U752" s="11"/>
      <c r="Y752" s="27"/>
      <c r="Z752" s="11"/>
      <c r="AE752" s="11"/>
      <c r="AH752" s="28"/>
      <c r="AI752" s="28"/>
      <c r="AJ752" s="12"/>
      <c r="AK752" s="29"/>
      <c r="AL752" s="12"/>
    </row>
    <row r="753" spans="9:38" x14ac:dyDescent="0.25">
      <c r="I753" s="15"/>
      <c r="K753" s="16"/>
      <c r="L753" s="16"/>
      <c r="M753" s="16"/>
      <c r="N753" s="16"/>
      <c r="O753" s="16"/>
      <c r="S753" s="11"/>
      <c r="T753" s="11"/>
      <c r="U753" s="11"/>
      <c r="Y753" s="27"/>
      <c r="Z753" s="11"/>
      <c r="AE753" s="11"/>
      <c r="AH753" s="28"/>
      <c r="AI753" s="28"/>
      <c r="AJ753" s="12"/>
      <c r="AK753" s="29"/>
      <c r="AL753" s="12"/>
    </row>
    <row r="754" spans="9:38" x14ac:dyDescent="0.25">
      <c r="I754" s="15"/>
      <c r="K754" s="16"/>
      <c r="L754" s="16"/>
      <c r="M754" s="16"/>
      <c r="N754" s="16"/>
      <c r="O754" s="16"/>
      <c r="S754" s="11"/>
      <c r="T754" s="11"/>
      <c r="U754" s="11"/>
      <c r="Y754" s="27"/>
      <c r="Z754" s="11"/>
      <c r="AE754" s="11"/>
      <c r="AH754" s="28"/>
      <c r="AI754" s="28"/>
      <c r="AJ754" s="12"/>
      <c r="AK754" s="29"/>
      <c r="AL754" s="12"/>
    </row>
    <row r="755" spans="9:38" x14ac:dyDescent="0.25">
      <c r="I755" s="15"/>
      <c r="K755" s="16"/>
      <c r="L755" s="16"/>
      <c r="M755" s="16"/>
      <c r="N755" s="16"/>
      <c r="O755" s="16"/>
      <c r="S755" s="11"/>
      <c r="T755" s="11"/>
      <c r="U755" s="11"/>
      <c r="Y755" s="27"/>
      <c r="Z755" s="11"/>
      <c r="AE755" s="11"/>
      <c r="AH755" s="28"/>
      <c r="AI755" s="28"/>
      <c r="AJ755" s="12"/>
      <c r="AK755" s="29"/>
      <c r="AL755" s="12"/>
    </row>
    <row r="756" spans="9:38" x14ac:dyDescent="0.25">
      <c r="I756" s="15"/>
      <c r="K756" s="16"/>
      <c r="L756" s="16"/>
      <c r="M756" s="16"/>
      <c r="N756" s="16"/>
      <c r="O756" s="16"/>
      <c r="S756" s="11"/>
      <c r="T756" s="11"/>
      <c r="U756" s="11"/>
      <c r="Y756" s="27"/>
      <c r="Z756" s="11"/>
      <c r="AE756" s="11"/>
      <c r="AH756" s="28"/>
      <c r="AI756" s="28"/>
      <c r="AJ756" s="12"/>
      <c r="AK756" s="29"/>
      <c r="AL756" s="12"/>
    </row>
    <row r="757" spans="9:38" x14ac:dyDescent="0.25">
      <c r="I757" s="15"/>
      <c r="K757" s="16"/>
      <c r="L757" s="16"/>
      <c r="M757" s="16"/>
      <c r="N757" s="16"/>
      <c r="O757" s="16"/>
      <c r="S757" s="11"/>
      <c r="T757" s="11"/>
      <c r="U757" s="11"/>
      <c r="Y757" s="27"/>
      <c r="Z757" s="11"/>
      <c r="AE757" s="11"/>
      <c r="AH757" s="28"/>
      <c r="AI757" s="28"/>
      <c r="AJ757" s="12"/>
      <c r="AK757" s="29"/>
      <c r="AL757" s="12"/>
    </row>
    <row r="758" spans="9:38" x14ac:dyDescent="0.25">
      <c r="I758" s="15"/>
      <c r="K758" s="16"/>
      <c r="L758" s="16"/>
      <c r="M758" s="16"/>
      <c r="N758" s="16"/>
      <c r="O758" s="16"/>
      <c r="S758" s="11"/>
      <c r="T758" s="11"/>
      <c r="U758" s="11"/>
      <c r="Y758" s="27"/>
      <c r="Z758" s="11"/>
      <c r="AE758" s="11"/>
      <c r="AH758" s="28"/>
      <c r="AI758" s="28"/>
      <c r="AJ758" s="12"/>
      <c r="AK758" s="29"/>
      <c r="AL758" s="12"/>
    </row>
    <row r="759" spans="9:38" x14ac:dyDescent="0.25">
      <c r="I759" s="15"/>
      <c r="K759" s="16"/>
      <c r="L759" s="16"/>
      <c r="M759" s="16"/>
      <c r="N759" s="16"/>
      <c r="O759" s="16"/>
      <c r="S759" s="11"/>
      <c r="T759" s="11"/>
      <c r="U759" s="11"/>
      <c r="Y759" s="27"/>
      <c r="Z759" s="11"/>
      <c r="AE759" s="11"/>
      <c r="AH759" s="28"/>
      <c r="AI759" s="28"/>
      <c r="AJ759" s="12"/>
      <c r="AK759" s="29"/>
      <c r="AL759" s="12"/>
    </row>
    <row r="760" spans="9:38" x14ac:dyDescent="0.25">
      <c r="I760" s="15"/>
      <c r="K760" s="16"/>
      <c r="L760" s="16"/>
      <c r="M760" s="16"/>
      <c r="N760" s="16"/>
      <c r="O760" s="16"/>
      <c r="S760" s="11"/>
      <c r="T760" s="11"/>
      <c r="U760" s="11"/>
      <c r="Y760" s="27"/>
      <c r="Z760" s="11"/>
      <c r="AE760" s="11"/>
      <c r="AH760" s="28"/>
      <c r="AI760" s="28"/>
      <c r="AJ760" s="12"/>
      <c r="AK760" s="29"/>
      <c r="AL760" s="12"/>
    </row>
    <row r="761" spans="9:38" x14ac:dyDescent="0.25">
      <c r="I761" s="15"/>
      <c r="K761" s="16"/>
      <c r="L761" s="16"/>
      <c r="M761" s="16"/>
      <c r="N761" s="16"/>
      <c r="O761" s="16"/>
      <c r="S761" s="11"/>
      <c r="T761" s="11"/>
      <c r="U761" s="11"/>
      <c r="Y761" s="27"/>
      <c r="Z761" s="11"/>
      <c r="AE761" s="11"/>
      <c r="AH761" s="28"/>
      <c r="AI761" s="28"/>
      <c r="AJ761" s="12"/>
      <c r="AK761" s="29"/>
      <c r="AL761" s="12"/>
    </row>
    <row r="762" spans="9:38" x14ac:dyDescent="0.25">
      <c r="I762" s="15"/>
      <c r="K762" s="16"/>
      <c r="L762" s="16"/>
      <c r="M762" s="16"/>
      <c r="N762" s="16"/>
      <c r="O762" s="16"/>
      <c r="S762" s="11"/>
      <c r="T762" s="11"/>
      <c r="U762" s="11"/>
      <c r="Y762" s="27"/>
      <c r="Z762" s="11"/>
      <c r="AE762" s="11"/>
      <c r="AH762" s="28"/>
      <c r="AI762" s="28"/>
      <c r="AJ762" s="12"/>
      <c r="AK762" s="29"/>
      <c r="AL762" s="12"/>
    </row>
    <row r="763" spans="9:38" x14ac:dyDescent="0.25">
      <c r="I763" s="15"/>
      <c r="K763" s="16"/>
      <c r="L763" s="16"/>
      <c r="M763" s="16"/>
      <c r="N763" s="16"/>
      <c r="O763" s="16"/>
      <c r="S763" s="11"/>
      <c r="T763" s="11"/>
      <c r="U763" s="11"/>
      <c r="Y763" s="27"/>
      <c r="Z763" s="11"/>
      <c r="AE763" s="11"/>
      <c r="AH763" s="28"/>
      <c r="AI763" s="28"/>
      <c r="AJ763" s="12"/>
      <c r="AK763" s="29"/>
      <c r="AL763" s="12"/>
    </row>
    <row r="764" spans="9:38" x14ac:dyDescent="0.25">
      <c r="I764" s="15"/>
      <c r="K764" s="16"/>
      <c r="L764" s="16"/>
      <c r="M764" s="16"/>
      <c r="N764" s="16"/>
      <c r="O764" s="16"/>
      <c r="S764" s="11"/>
      <c r="T764" s="11"/>
      <c r="U764" s="11"/>
      <c r="Y764" s="27"/>
      <c r="Z764" s="11"/>
      <c r="AE764" s="11"/>
      <c r="AH764" s="28"/>
      <c r="AI764" s="28"/>
      <c r="AJ764" s="12"/>
      <c r="AK764" s="29"/>
      <c r="AL764" s="12"/>
    </row>
    <row r="765" spans="9:38" x14ac:dyDescent="0.25">
      <c r="I765" s="15"/>
      <c r="K765" s="16"/>
      <c r="L765" s="16"/>
      <c r="M765" s="16"/>
      <c r="N765" s="16"/>
      <c r="O765" s="16"/>
      <c r="S765" s="11"/>
      <c r="T765" s="11"/>
      <c r="U765" s="11"/>
      <c r="Y765" s="27"/>
      <c r="Z765" s="11"/>
      <c r="AE765" s="11"/>
      <c r="AH765" s="28"/>
      <c r="AI765" s="28"/>
      <c r="AJ765" s="12"/>
      <c r="AK765" s="29"/>
      <c r="AL765" s="12"/>
    </row>
    <row r="766" spans="9:38" x14ac:dyDescent="0.25">
      <c r="I766" s="15"/>
      <c r="K766" s="16"/>
      <c r="L766" s="16"/>
      <c r="M766" s="16"/>
      <c r="N766" s="16"/>
      <c r="O766" s="16"/>
      <c r="S766" s="11"/>
      <c r="T766" s="11"/>
      <c r="U766" s="11"/>
      <c r="Y766" s="27"/>
      <c r="Z766" s="11"/>
      <c r="AE766" s="11"/>
      <c r="AH766" s="28"/>
      <c r="AI766" s="28"/>
      <c r="AJ766" s="12"/>
      <c r="AK766" s="29"/>
      <c r="AL766" s="12"/>
    </row>
    <row r="767" spans="9:38" x14ac:dyDescent="0.25">
      <c r="I767" s="15"/>
      <c r="K767" s="16"/>
      <c r="L767" s="16"/>
      <c r="M767" s="16"/>
      <c r="N767" s="16"/>
      <c r="O767" s="16"/>
      <c r="S767" s="11"/>
      <c r="T767" s="11"/>
      <c r="U767" s="11"/>
      <c r="Y767" s="27"/>
      <c r="Z767" s="11"/>
      <c r="AE767" s="11"/>
      <c r="AH767" s="28"/>
      <c r="AI767" s="28"/>
      <c r="AJ767" s="12"/>
      <c r="AK767" s="29"/>
      <c r="AL767" s="12"/>
    </row>
    <row r="768" spans="9:38" x14ac:dyDescent="0.25">
      <c r="I768" s="15"/>
      <c r="K768" s="16"/>
      <c r="L768" s="16"/>
      <c r="M768" s="16"/>
      <c r="N768" s="16"/>
      <c r="O768" s="16"/>
      <c r="S768" s="11"/>
      <c r="T768" s="11"/>
      <c r="U768" s="11"/>
      <c r="Y768" s="27"/>
      <c r="Z768" s="11"/>
      <c r="AE768" s="11"/>
      <c r="AH768" s="28"/>
      <c r="AI768" s="28"/>
      <c r="AJ768" s="12"/>
      <c r="AK768" s="29"/>
      <c r="AL768" s="12"/>
    </row>
    <row r="769" spans="9:38" x14ac:dyDescent="0.25">
      <c r="I769" s="15"/>
      <c r="K769" s="16"/>
      <c r="L769" s="16"/>
      <c r="M769" s="16"/>
      <c r="N769" s="16"/>
      <c r="O769" s="16"/>
      <c r="S769" s="11"/>
      <c r="T769" s="11"/>
      <c r="U769" s="11"/>
      <c r="Y769" s="27"/>
      <c r="Z769" s="11"/>
      <c r="AE769" s="11"/>
      <c r="AH769" s="28"/>
      <c r="AI769" s="28"/>
      <c r="AJ769" s="12"/>
      <c r="AK769" s="29"/>
      <c r="AL769" s="12"/>
    </row>
    <row r="770" spans="9:38" x14ac:dyDescent="0.25">
      <c r="I770" s="15"/>
      <c r="K770" s="16"/>
      <c r="L770" s="16"/>
      <c r="M770" s="16"/>
      <c r="N770" s="16"/>
      <c r="O770" s="16"/>
      <c r="S770" s="11"/>
      <c r="T770" s="11"/>
      <c r="U770" s="11"/>
      <c r="Y770" s="27"/>
      <c r="Z770" s="11"/>
      <c r="AE770" s="11"/>
      <c r="AH770" s="28"/>
      <c r="AI770" s="28"/>
      <c r="AJ770" s="12"/>
      <c r="AK770" s="29"/>
      <c r="AL770" s="12"/>
    </row>
    <row r="771" spans="9:38" x14ac:dyDescent="0.25">
      <c r="I771" s="15"/>
      <c r="K771" s="16"/>
      <c r="L771" s="16"/>
      <c r="M771" s="16"/>
      <c r="N771" s="16"/>
      <c r="O771" s="16"/>
      <c r="S771" s="11"/>
      <c r="T771" s="11"/>
      <c r="U771" s="11"/>
      <c r="Y771" s="27"/>
      <c r="Z771" s="11"/>
      <c r="AE771" s="11"/>
      <c r="AH771" s="28"/>
      <c r="AI771" s="28"/>
      <c r="AJ771" s="12"/>
      <c r="AK771" s="29"/>
      <c r="AL771" s="12"/>
    </row>
    <row r="772" spans="9:38" x14ac:dyDescent="0.25">
      <c r="I772" s="15"/>
      <c r="K772" s="16"/>
      <c r="L772" s="16"/>
      <c r="M772" s="16"/>
      <c r="N772" s="16"/>
      <c r="O772" s="16"/>
      <c r="S772" s="11"/>
      <c r="T772" s="11"/>
      <c r="U772" s="11"/>
      <c r="Y772" s="27"/>
      <c r="Z772" s="11"/>
      <c r="AE772" s="11"/>
      <c r="AH772" s="28"/>
      <c r="AI772" s="28"/>
      <c r="AJ772" s="12"/>
      <c r="AK772" s="29"/>
      <c r="AL772" s="12"/>
    </row>
    <row r="773" spans="9:38" x14ac:dyDescent="0.25">
      <c r="I773" s="15"/>
      <c r="K773" s="16"/>
      <c r="L773" s="16"/>
      <c r="M773" s="16"/>
      <c r="N773" s="16"/>
      <c r="O773" s="16"/>
      <c r="S773" s="11"/>
      <c r="T773" s="11"/>
      <c r="U773" s="11"/>
      <c r="Y773" s="27"/>
      <c r="Z773" s="11"/>
      <c r="AE773" s="11"/>
      <c r="AH773" s="28"/>
      <c r="AI773" s="28"/>
      <c r="AJ773" s="12"/>
      <c r="AK773" s="29"/>
      <c r="AL773" s="12"/>
    </row>
    <row r="774" spans="9:38" x14ac:dyDescent="0.25">
      <c r="I774" s="15"/>
      <c r="K774" s="16"/>
      <c r="L774" s="16"/>
      <c r="M774" s="16"/>
      <c r="N774" s="16"/>
      <c r="O774" s="16"/>
      <c r="S774" s="11"/>
      <c r="T774" s="11"/>
      <c r="U774" s="11"/>
      <c r="Y774" s="27"/>
      <c r="Z774" s="11"/>
      <c r="AE774" s="11"/>
      <c r="AH774" s="28"/>
      <c r="AI774" s="28"/>
      <c r="AJ774" s="12"/>
      <c r="AK774" s="29"/>
      <c r="AL774" s="12"/>
    </row>
    <row r="775" spans="9:38" x14ac:dyDescent="0.25">
      <c r="I775" s="15"/>
      <c r="K775" s="16"/>
      <c r="L775" s="16"/>
      <c r="M775" s="16"/>
      <c r="N775" s="16"/>
      <c r="O775" s="16"/>
      <c r="S775" s="11"/>
      <c r="T775" s="11"/>
      <c r="U775" s="11"/>
      <c r="Y775" s="27"/>
      <c r="Z775" s="11"/>
      <c r="AE775" s="11"/>
      <c r="AH775" s="28"/>
      <c r="AI775" s="28"/>
      <c r="AJ775" s="12"/>
      <c r="AK775" s="29"/>
      <c r="AL775" s="12"/>
    </row>
    <row r="776" spans="9:38" x14ac:dyDescent="0.25">
      <c r="I776" s="15"/>
      <c r="K776" s="16"/>
      <c r="L776" s="16"/>
      <c r="M776" s="16"/>
      <c r="N776" s="16"/>
      <c r="O776" s="16"/>
      <c r="S776" s="11"/>
      <c r="T776" s="11"/>
      <c r="U776" s="11"/>
      <c r="Y776" s="27"/>
      <c r="Z776" s="11"/>
      <c r="AE776" s="11"/>
      <c r="AH776" s="28"/>
      <c r="AI776" s="28"/>
      <c r="AJ776" s="12"/>
      <c r="AK776" s="29"/>
      <c r="AL776" s="12"/>
    </row>
    <row r="777" spans="9:38" x14ac:dyDescent="0.25">
      <c r="I777" s="15"/>
      <c r="K777" s="16"/>
      <c r="L777" s="16"/>
      <c r="M777" s="16"/>
      <c r="N777" s="16"/>
      <c r="O777" s="16"/>
      <c r="S777" s="11"/>
      <c r="T777" s="11"/>
      <c r="U777" s="11"/>
      <c r="Y777" s="27"/>
      <c r="Z777" s="11"/>
      <c r="AE777" s="11"/>
      <c r="AH777" s="28"/>
      <c r="AI777" s="28"/>
      <c r="AJ777" s="12"/>
      <c r="AK777" s="29"/>
      <c r="AL777" s="12"/>
    </row>
    <row r="778" spans="9:38" x14ac:dyDescent="0.25">
      <c r="I778" s="15"/>
      <c r="K778" s="16"/>
      <c r="L778" s="16"/>
      <c r="M778" s="16"/>
      <c r="N778" s="16"/>
      <c r="O778" s="16"/>
      <c r="S778" s="11"/>
      <c r="T778" s="11"/>
      <c r="U778" s="11"/>
      <c r="Y778" s="27"/>
      <c r="Z778" s="11"/>
      <c r="AE778" s="11"/>
      <c r="AH778" s="28"/>
      <c r="AI778" s="28"/>
      <c r="AJ778" s="12"/>
      <c r="AK778" s="29"/>
      <c r="AL778" s="12"/>
    </row>
    <row r="779" spans="9:38" x14ac:dyDescent="0.25">
      <c r="I779" s="15"/>
      <c r="K779" s="16"/>
      <c r="L779" s="16"/>
      <c r="M779" s="16"/>
      <c r="N779" s="16"/>
      <c r="O779" s="16"/>
      <c r="S779" s="11"/>
      <c r="T779" s="11"/>
      <c r="U779" s="11"/>
      <c r="Y779" s="27"/>
      <c r="Z779" s="11"/>
      <c r="AE779" s="11"/>
      <c r="AH779" s="28"/>
      <c r="AI779" s="28"/>
      <c r="AJ779" s="12"/>
      <c r="AK779" s="29"/>
      <c r="AL779" s="12"/>
    </row>
    <row r="780" spans="9:38" x14ac:dyDescent="0.25">
      <c r="I780" s="15"/>
      <c r="K780" s="16"/>
      <c r="L780" s="16"/>
      <c r="M780" s="16"/>
      <c r="N780" s="16"/>
      <c r="O780" s="16"/>
      <c r="S780" s="11"/>
      <c r="T780" s="11"/>
      <c r="U780" s="11"/>
      <c r="Y780" s="27"/>
      <c r="Z780" s="11"/>
      <c r="AE780" s="11"/>
      <c r="AH780" s="28"/>
      <c r="AI780" s="28"/>
      <c r="AJ780" s="12"/>
      <c r="AK780" s="29"/>
      <c r="AL780" s="12"/>
    </row>
    <row r="781" spans="9:38" x14ac:dyDescent="0.25">
      <c r="I781" s="15"/>
      <c r="K781" s="16"/>
      <c r="L781" s="16"/>
      <c r="M781" s="16"/>
      <c r="N781" s="16"/>
      <c r="O781" s="16"/>
      <c r="S781" s="11"/>
      <c r="T781" s="11"/>
      <c r="U781" s="11"/>
      <c r="Y781" s="27"/>
      <c r="Z781" s="11"/>
      <c r="AE781" s="11"/>
      <c r="AH781" s="28"/>
      <c r="AI781" s="28"/>
      <c r="AJ781" s="12"/>
      <c r="AK781" s="29"/>
      <c r="AL781" s="12"/>
    </row>
    <row r="782" spans="9:38" x14ac:dyDescent="0.25">
      <c r="I782" s="15"/>
      <c r="K782" s="16"/>
      <c r="L782" s="16"/>
      <c r="M782" s="16"/>
      <c r="N782" s="16"/>
      <c r="O782" s="16"/>
      <c r="S782" s="11"/>
      <c r="T782" s="11"/>
      <c r="U782" s="11"/>
      <c r="Y782" s="27"/>
      <c r="Z782" s="11"/>
      <c r="AE782" s="11"/>
      <c r="AH782" s="28"/>
      <c r="AI782" s="28"/>
      <c r="AJ782" s="12"/>
      <c r="AK782" s="29"/>
      <c r="AL782" s="12"/>
    </row>
    <row r="783" spans="9:38" x14ac:dyDescent="0.25">
      <c r="I783" s="15"/>
      <c r="K783" s="16"/>
      <c r="L783" s="16"/>
      <c r="M783" s="16"/>
      <c r="N783" s="16"/>
      <c r="O783" s="16"/>
      <c r="S783" s="11"/>
      <c r="T783" s="11"/>
      <c r="U783" s="11"/>
      <c r="Y783" s="27"/>
      <c r="Z783" s="11"/>
      <c r="AE783" s="11"/>
      <c r="AH783" s="28"/>
      <c r="AI783" s="28"/>
      <c r="AJ783" s="12"/>
      <c r="AK783" s="29"/>
      <c r="AL783" s="12"/>
    </row>
    <row r="784" spans="9:38" x14ac:dyDescent="0.25">
      <c r="I784" s="15"/>
      <c r="K784" s="16"/>
      <c r="L784" s="16"/>
      <c r="M784" s="16"/>
      <c r="N784" s="16"/>
      <c r="O784" s="16"/>
      <c r="S784" s="11"/>
      <c r="T784" s="11"/>
      <c r="U784" s="11"/>
      <c r="Y784" s="27"/>
      <c r="Z784" s="11"/>
      <c r="AE784" s="11"/>
      <c r="AH784" s="28"/>
      <c r="AI784" s="28"/>
      <c r="AJ784" s="12"/>
      <c r="AK784" s="29"/>
      <c r="AL784" s="12"/>
    </row>
    <row r="785" spans="9:38" x14ac:dyDescent="0.25">
      <c r="I785" s="15"/>
      <c r="K785" s="16"/>
      <c r="L785" s="16"/>
      <c r="M785" s="16"/>
      <c r="N785" s="16"/>
      <c r="O785" s="16"/>
      <c r="S785" s="11"/>
      <c r="T785" s="11"/>
      <c r="U785" s="11"/>
      <c r="Y785" s="27"/>
      <c r="Z785" s="11"/>
      <c r="AE785" s="11"/>
      <c r="AH785" s="28"/>
      <c r="AI785" s="28"/>
      <c r="AJ785" s="12"/>
      <c r="AK785" s="29"/>
      <c r="AL785" s="12"/>
    </row>
    <row r="786" spans="9:38" x14ac:dyDescent="0.25">
      <c r="I786" s="15"/>
      <c r="K786" s="16"/>
      <c r="L786" s="16"/>
      <c r="M786" s="16"/>
      <c r="N786" s="16"/>
      <c r="O786" s="16"/>
      <c r="S786" s="11"/>
      <c r="T786" s="11"/>
      <c r="U786" s="11"/>
      <c r="Y786" s="27"/>
      <c r="Z786" s="11"/>
      <c r="AE786" s="11"/>
      <c r="AH786" s="28"/>
      <c r="AI786" s="28"/>
      <c r="AJ786" s="12"/>
      <c r="AK786" s="29"/>
      <c r="AL786" s="12"/>
    </row>
    <row r="787" spans="9:38" x14ac:dyDescent="0.25">
      <c r="I787" s="15"/>
      <c r="K787" s="16"/>
      <c r="L787" s="16"/>
      <c r="M787" s="16"/>
      <c r="N787" s="16"/>
      <c r="O787" s="16"/>
      <c r="S787" s="11"/>
      <c r="T787" s="11"/>
      <c r="U787" s="11"/>
      <c r="Y787" s="27"/>
      <c r="Z787" s="11"/>
      <c r="AE787" s="11"/>
      <c r="AH787" s="28"/>
      <c r="AI787" s="28"/>
      <c r="AJ787" s="12"/>
      <c r="AK787" s="29"/>
      <c r="AL787" s="12"/>
    </row>
    <row r="788" spans="9:38" x14ac:dyDescent="0.25">
      <c r="I788" s="15"/>
      <c r="K788" s="16"/>
      <c r="L788" s="16"/>
      <c r="M788" s="16"/>
      <c r="N788" s="16"/>
      <c r="O788" s="16"/>
      <c r="S788" s="11"/>
      <c r="T788" s="11"/>
      <c r="U788" s="11"/>
      <c r="Y788" s="27"/>
      <c r="Z788" s="11"/>
      <c r="AE788" s="11"/>
      <c r="AH788" s="28"/>
      <c r="AI788" s="28"/>
      <c r="AJ788" s="12"/>
      <c r="AK788" s="29"/>
      <c r="AL788" s="12"/>
    </row>
    <row r="789" spans="9:38" x14ac:dyDescent="0.25">
      <c r="I789" s="15"/>
      <c r="K789" s="16"/>
      <c r="L789" s="16"/>
      <c r="M789" s="16"/>
      <c r="N789" s="16"/>
      <c r="O789" s="16"/>
      <c r="S789" s="11"/>
      <c r="T789" s="11"/>
      <c r="U789" s="11"/>
      <c r="Y789" s="27"/>
      <c r="Z789" s="11"/>
      <c r="AE789" s="11"/>
      <c r="AH789" s="28"/>
      <c r="AI789" s="28"/>
      <c r="AJ789" s="12"/>
      <c r="AK789" s="29"/>
      <c r="AL789" s="12"/>
    </row>
    <row r="790" spans="9:38" x14ac:dyDescent="0.25">
      <c r="I790" s="15"/>
      <c r="K790" s="16"/>
      <c r="L790" s="16"/>
      <c r="M790" s="16"/>
      <c r="N790" s="16"/>
      <c r="O790" s="16"/>
      <c r="S790" s="11"/>
      <c r="T790" s="11"/>
      <c r="U790" s="11"/>
      <c r="Y790" s="27"/>
      <c r="Z790" s="11"/>
      <c r="AE790" s="11"/>
      <c r="AH790" s="28"/>
      <c r="AI790" s="28"/>
      <c r="AJ790" s="12"/>
      <c r="AK790" s="29"/>
      <c r="AL790" s="12"/>
    </row>
    <row r="791" spans="9:38" x14ac:dyDescent="0.25">
      <c r="I791" s="15"/>
      <c r="K791" s="16"/>
      <c r="L791" s="16"/>
      <c r="M791" s="16"/>
      <c r="N791" s="16"/>
      <c r="O791" s="16"/>
      <c r="S791" s="11"/>
      <c r="T791" s="11"/>
      <c r="U791" s="11"/>
      <c r="Y791" s="27"/>
      <c r="Z791" s="11"/>
      <c r="AE791" s="11"/>
      <c r="AH791" s="28"/>
      <c r="AI791" s="28"/>
      <c r="AJ791" s="12"/>
      <c r="AK791" s="29"/>
      <c r="AL791" s="12"/>
    </row>
    <row r="792" spans="9:38" x14ac:dyDescent="0.25">
      <c r="I792" s="15"/>
      <c r="K792" s="16"/>
      <c r="L792" s="16"/>
      <c r="M792" s="16"/>
      <c r="N792" s="16"/>
      <c r="O792" s="16"/>
      <c r="S792" s="11"/>
      <c r="T792" s="11"/>
      <c r="U792" s="11"/>
      <c r="Y792" s="27"/>
      <c r="Z792" s="11"/>
      <c r="AE792" s="11"/>
      <c r="AH792" s="28"/>
      <c r="AI792" s="28"/>
      <c r="AJ792" s="12"/>
      <c r="AK792" s="29"/>
      <c r="AL792" s="12"/>
    </row>
    <row r="793" spans="9:38" x14ac:dyDescent="0.25">
      <c r="I793" s="15"/>
      <c r="K793" s="16"/>
      <c r="L793" s="16"/>
      <c r="M793" s="16"/>
      <c r="N793" s="16"/>
      <c r="O793" s="16"/>
      <c r="S793" s="11"/>
      <c r="T793" s="11"/>
      <c r="U793" s="11"/>
      <c r="Y793" s="27"/>
      <c r="Z793" s="11"/>
      <c r="AE793" s="11"/>
      <c r="AH793" s="28"/>
      <c r="AI793" s="28"/>
      <c r="AJ793" s="12"/>
      <c r="AK793" s="29"/>
      <c r="AL793" s="12"/>
    </row>
    <row r="794" spans="9:38" x14ac:dyDescent="0.25">
      <c r="I794" s="15"/>
      <c r="K794" s="16"/>
      <c r="L794" s="16"/>
      <c r="M794" s="16"/>
      <c r="N794" s="16"/>
      <c r="O794" s="16"/>
      <c r="S794" s="11"/>
      <c r="T794" s="11"/>
      <c r="U794" s="11"/>
      <c r="Y794" s="27"/>
      <c r="Z794" s="11"/>
      <c r="AE794" s="11"/>
      <c r="AH794" s="28"/>
      <c r="AI794" s="28"/>
      <c r="AJ794" s="12"/>
      <c r="AK794" s="29"/>
      <c r="AL794" s="12"/>
    </row>
    <row r="795" spans="9:38" x14ac:dyDescent="0.25">
      <c r="I795" s="15"/>
      <c r="K795" s="16"/>
      <c r="L795" s="16"/>
      <c r="M795" s="16"/>
      <c r="N795" s="16"/>
      <c r="O795" s="16"/>
      <c r="S795" s="11"/>
      <c r="T795" s="11"/>
      <c r="U795" s="11"/>
      <c r="Y795" s="27"/>
      <c r="Z795" s="11"/>
      <c r="AE795" s="11"/>
      <c r="AH795" s="28"/>
      <c r="AI795" s="28"/>
      <c r="AJ795" s="12"/>
      <c r="AK795" s="29"/>
      <c r="AL795" s="12"/>
    </row>
    <row r="796" spans="9:38" x14ac:dyDescent="0.25">
      <c r="I796" s="15"/>
      <c r="K796" s="16"/>
      <c r="L796" s="16"/>
      <c r="M796" s="16"/>
      <c r="N796" s="16"/>
      <c r="O796" s="16"/>
      <c r="S796" s="11"/>
      <c r="T796" s="11"/>
      <c r="U796" s="11"/>
      <c r="Y796" s="27"/>
      <c r="Z796" s="11"/>
      <c r="AE796" s="11"/>
      <c r="AH796" s="28"/>
      <c r="AI796" s="28"/>
      <c r="AJ796" s="12"/>
      <c r="AK796" s="29"/>
      <c r="AL796" s="12"/>
    </row>
    <row r="797" spans="9:38" x14ac:dyDescent="0.25">
      <c r="I797" s="15"/>
      <c r="K797" s="16"/>
      <c r="L797" s="16"/>
      <c r="M797" s="16"/>
      <c r="N797" s="16"/>
      <c r="O797" s="16"/>
      <c r="S797" s="11"/>
      <c r="T797" s="11"/>
      <c r="U797" s="11"/>
      <c r="Y797" s="27"/>
      <c r="Z797" s="11"/>
      <c r="AE797" s="11"/>
      <c r="AH797" s="28"/>
      <c r="AI797" s="28"/>
      <c r="AJ797" s="12"/>
      <c r="AK797" s="29"/>
      <c r="AL797" s="12"/>
    </row>
    <row r="798" spans="9:38" x14ac:dyDescent="0.25">
      <c r="I798" s="15"/>
      <c r="K798" s="16"/>
      <c r="L798" s="16"/>
      <c r="M798" s="16"/>
      <c r="N798" s="16"/>
      <c r="O798" s="16"/>
      <c r="S798" s="11"/>
      <c r="T798" s="11"/>
      <c r="U798" s="11"/>
      <c r="Y798" s="27"/>
      <c r="Z798" s="11"/>
      <c r="AE798" s="11"/>
      <c r="AH798" s="28"/>
      <c r="AI798" s="28"/>
      <c r="AJ798" s="12"/>
      <c r="AK798" s="29"/>
      <c r="AL798" s="12"/>
    </row>
    <row r="799" spans="9:38" x14ac:dyDescent="0.25">
      <c r="I799" s="15"/>
      <c r="K799" s="16"/>
      <c r="L799" s="16"/>
      <c r="M799" s="16"/>
      <c r="N799" s="16"/>
      <c r="O799" s="16"/>
      <c r="S799" s="11"/>
      <c r="T799" s="11"/>
      <c r="U799" s="11"/>
      <c r="Y799" s="27"/>
      <c r="Z799" s="11"/>
      <c r="AE799" s="11"/>
      <c r="AH799" s="28"/>
      <c r="AI799" s="28"/>
      <c r="AJ799" s="12"/>
      <c r="AK799" s="29"/>
      <c r="AL799" s="12"/>
    </row>
    <row r="800" spans="9:38" x14ac:dyDescent="0.25">
      <c r="I800" s="15"/>
      <c r="K800" s="16"/>
      <c r="L800" s="16"/>
      <c r="M800" s="16"/>
      <c r="N800" s="16"/>
      <c r="O800" s="16"/>
      <c r="S800" s="11"/>
      <c r="T800" s="11"/>
      <c r="U800" s="11"/>
      <c r="Y800" s="27"/>
      <c r="Z800" s="11"/>
      <c r="AE800" s="11"/>
      <c r="AH800" s="28"/>
      <c r="AI800" s="28"/>
      <c r="AJ800" s="12"/>
      <c r="AK800" s="29"/>
      <c r="AL800" s="12"/>
    </row>
    <row r="801" spans="9:38" x14ac:dyDescent="0.25">
      <c r="I801" s="15"/>
      <c r="K801" s="16"/>
      <c r="L801" s="16"/>
      <c r="M801" s="16"/>
      <c r="N801" s="16"/>
      <c r="O801" s="16"/>
      <c r="S801" s="11"/>
      <c r="T801" s="11"/>
      <c r="U801" s="11"/>
      <c r="Y801" s="27"/>
      <c r="Z801" s="11"/>
      <c r="AE801" s="11"/>
      <c r="AH801" s="28"/>
      <c r="AI801" s="28"/>
      <c r="AJ801" s="12"/>
      <c r="AK801" s="29"/>
      <c r="AL801" s="12"/>
    </row>
    <row r="802" spans="9:38" x14ac:dyDescent="0.25">
      <c r="I802" s="15"/>
      <c r="K802" s="16"/>
      <c r="L802" s="16"/>
      <c r="M802" s="16"/>
      <c r="N802" s="16"/>
      <c r="O802" s="16"/>
      <c r="S802" s="11"/>
      <c r="T802" s="11"/>
      <c r="U802" s="11"/>
      <c r="Y802" s="27"/>
      <c r="Z802" s="11"/>
      <c r="AE802" s="11"/>
      <c r="AH802" s="28"/>
      <c r="AI802" s="28"/>
      <c r="AJ802" s="12"/>
      <c r="AK802" s="29"/>
      <c r="AL802" s="12"/>
    </row>
    <row r="803" spans="9:38" x14ac:dyDescent="0.25">
      <c r="I803" s="15"/>
      <c r="K803" s="16"/>
      <c r="L803" s="16"/>
      <c r="M803" s="16"/>
      <c r="N803" s="16"/>
      <c r="O803" s="16"/>
      <c r="S803" s="11"/>
      <c r="T803" s="11"/>
      <c r="U803" s="11"/>
      <c r="Y803" s="27"/>
      <c r="Z803" s="11"/>
      <c r="AE803" s="11"/>
      <c r="AH803" s="28"/>
      <c r="AI803" s="28"/>
      <c r="AJ803" s="12"/>
      <c r="AK803" s="29"/>
      <c r="AL803" s="12"/>
    </row>
    <row r="804" spans="9:38" x14ac:dyDescent="0.25">
      <c r="I804" s="15"/>
      <c r="K804" s="16"/>
      <c r="L804" s="16"/>
      <c r="M804" s="16"/>
      <c r="N804" s="16"/>
      <c r="O804" s="16"/>
      <c r="S804" s="11"/>
      <c r="T804" s="11"/>
      <c r="U804" s="11"/>
      <c r="Y804" s="27"/>
      <c r="Z804" s="11"/>
      <c r="AE804" s="11"/>
      <c r="AH804" s="28"/>
      <c r="AI804" s="28"/>
      <c r="AJ804" s="12"/>
      <c r="AK804" s="29"/>
      <c r="AL804" s="12"/>
    </row>
    <row r="805" spans="9:38" x14ac:dyDescent="0.25">
      <c r="I805" s="15"/>
      <c r="K805" s="16"/>
      <c r="L805" s="16"/>
      <c r="M805" s="16"/>
      <c r="N805" s="16"/>
      <c r="O805" s="16"/>
      <c r="S805" s="11"/>
      <c r="T805" s="11"/>
      <c r="U805" s="11"/>
      <c r="Y805" s="27"/>
      <c r="Z805" s="11"/>
      <c r="AE805" s="11"/>
      <c r="AH805" s="28"/>
      <c r="AI805" s="28"/>
      <c r="AJ805" s="12"/>
      <c r="AK805" s="29"/>
      <c r="AL805" s="12"/>
    </row>
    <row r="806" spans="9:38" x14ac:dyDescent="0.25">
      <c r="I806" s="15"/>
      <c r="K806" s="16"/>
      <c r="L806" s="16"/>
      <c r="M806" s="16"/>
      <c r="N806" s="16"/>
      <c r="O806" s="16"/>
      <c r="S806" s="11"/>
      <c r="T806" s="11"/>
      <c r="U806" s="11"/>
      <c r="Y806" s="27"/>
      <c r="Z806" s="11"/>
      <c r="AE806" s="11"/>
      <c r="AH806" s="28"/>
      <c r="AI806" s="28"/>
      <c r="AJ806" s="12"/>
      <c r="AK806" s="29"/>
      <c r="AL806" s="12"/>
    </row>
    <row r="807" spans="9:38" x14ac:dyDescent="0.25">
      <c r="I807" s="15"/>
      <c r="K807" s="16"/>
      <c r="L807" s="16"/>
      <c r="M807" s="16"/>
      <c r="N807" s="16"/>
      <c r="O807" s="16"/>
      <c r="S807" s="11"/>
      <c r="T807" s="11"/>
      <c r="U807" s="11"/>
      <c r="Y807" s="27"/>
      <c r="Z807" s="11"/>
      <c r="AE807" s="11"/>
      <c r="AH807" s="28"/>
      <c r="AI807" s="28"/>
      <c r="AJ807" s="12"/>
      <c r="AK807" s="29"/>
      <c r="AL807" s="12"/>
    </row>
    <row r="808" spans="9:38" x14ac:dyDescent="0.25">
      <c r="I808" s="15"/>
      <c r="K808" s="16"/>
      <c r="L808" s="16"/>
      <c r="M808" s="16"/>
      <c r="N808" s="16"/>
      <c r="O808" s="16"/>
      <c r="S808" s="11"/>
      <c r="T808" s="11"/>
      <c r="U808" s="11"/>
      <c r="Y808" s="27"/>
      <c r="Z808" s="11"/>
      <c r="AE808" s="11"/>
      <c r="AH808" s="28"/>
      <c r="AI808" s="28"/>
      <c r="AJ808" s="12"/>
      <c r="AK808" s="29"/>
      <c r="AL808" s="12"/>
    </row>
    <row r="809" spans="9:38" x14ac:dyDescent="0.25">
      <c r="I809" s="15"/>
      <c r="K809" s="16"/>
      <c r="L809" s="16"/>
      <c r="M809" s="16"/>
      <c r="N809" s="16"/>
      <c r="O809" s="16"/>
      <c r="S809" s="11"/>
      <c r="T809" s="11"/>
      <c r="U809" s="11"/>
      <c r="Y809" s="27"/>
      <c r="Z809" s="11"/>
      <c r="AE809" s="11"/>
      <c r="AH809" s="28"/>
      <c r="AI809" s="28"/>
      <c r="AJ809" s="12"/>
      <c r="AK809" s="29"/>
      <c r="AL809" s="12"/>
    </row>
    <row r="810" spans="9:38" x14ac:dyDescent="0.25">
      <c r="I810" s="15"/>
      <c r="K810" s="16"/>
      <c r="L810" s="16"/>
      <c r="M810" s="16"/>
      <c r="N810" s="16"/>
      <c r="O810" s="16"/>
      <c r="S810" s="11"/>
      <c r="T810" s="11"/>
      <c r="U810" s="11"/>
      <c r="Y810" s="27"/>
      <c r="Z810" s="11"/>
      <c r="AE810" s="11"/>
      <c r="AH810" s="28"/>
      <c r="AI810" s="28"/>
      <c r="AJ810" s="12"/>
      <c r="AK810" s="29"/>
      <c r="AL810" s="12"/>
    </row>
    <row r="811" spans="9:38" x14ac:dyDescent="0.25">
      <c r="I811" s="15"/>
      <c r="K811" s="16"/>
      <c r="L811" s="16"/>
      <c r="M811" s="16"/>
      <c r="N811" s="16"/>
      <c r="O811" s="16"/>
      <c r="S811" s="11"/>
      <c r="T811" s="11"/>
      <c r="U811" s="11"/>
      <c r="Y811" s="27"/>
      <c r="Z811" s="11"/>
      <c r="AE811" s="11"/>
      <c r="AH811" s="28"/>
      <c r="AI811" s="28"/>
      <c r="AJ811" s="12"/>
      <c r="AK811" s="29"/>
      <c r="AL811" s="12"/>
    </row>
    <row r="812" spans="9:38" x14ac:dyDescent="0.25">
      <c r="I812" s="15"/>
      <c r="K812" s="16"/>
      <c r="L812" s="16"/>
      <c r="M812" s="16"/>
      <c r="N812" s="16"/>
      <c r="O812" s="16"/>
      <c r="S812" s="11"/>
      <c r="T812" s="11"/>
      <c r="U812" s="11"/>
      <c r="Y812" s="27"/>
      <c r="Z812" s="11"/>
      <c r="AE812" s="11"/>
      <c r="AH812" s="28"/>
      <c r="AI812" s="28"/>
      <c r="AJ812" s="12"/>
      <c r="AK812" s="29"/>
      <c r="AL812" s="12"/>
    </row>
    <row r="813" spans="9:38" x14ac:dyDescent="0.25">
      <c r="I813" s="15"/>
      <c r="K813" s="16"/>
      <c r="L813" s="16"/>
      <c r="M813" s="16"/>
      <c r="N813" s="16"/>
      <c r="O813" s="16"/>
      <c r="S813" s="11"/>
      <c r="T813" s="11"/>
      <c r="U813" s="11"/>
      <c r="Y813" s="27"/>
      <c r="Z813" s="11"/>
      <c r="AE813" s="11"/>
      <c r="AH813" s="28"/>
      <c r="AI813" s="28"/>
      <c r="AJ813" s="12"/>
      <c r="AK813" s="29"/>
      <c r="AL813" s="12"/>
    </row>
    <row r="814" spans="9:38" x14ac:dyDescent="0.25">
      <c r="I814" s="15"/>
      <c r="K814" s="16"/>
      <c r="L814" s="16"/>
      <c r="M814" s="16"/>
      <c r="N814" s="16"/>
      <c r="O814" s="16"/>
      <c r="S814" s="11"/>
      <c r="T814" s="11"/>
      <c r="U814" s="11"/>
      <c r="Y814" s="27"/>
      <c r="Z814" s="11"/>
      <c r="AE814" s="11"/>
      <c r="AH814" s="28"/>
      <c r="AI814" s="28"/>
      <c r="AJ814" s="12"/>
      <c r="AK814" s="29"/>
      <c r="AL814" s="12"/>
    </row>
    <row r="815" spans="9:38" x14ac:dyDescent="0.25">
      <c r="I815" s="15"/>
      <c r="K815" s="16"/>
      <c r="L815" s="16"/>
      <c r="M815" s="16"/>
      <c r="N815" s="16"/>
      <c r="O815" s="16"/>
      <c r="S815" s="11"/>
      <c r="T815" s="11"/>
      <c r="U815" s="11"/>
      <c r="Y815" s="27"/>
      <c r="Z815" s="11"/>
      <c r="AE815" s="11"/>
      <c r="AH815" s="28"/>
      <c r="AI815" s="28"/>
      <c r="AJ815" s="12"/>
      <c r="AK815" s="29"/>
      <c r="AL815" s="12"/>
    </row>
    <row r="816" spans="9:38" x14ac:dyDescent="0.25">
      <c r="I816" s="15"/>
      <c r="K816" s="16"/>
      <c r="L816" s="16"/>
      <c r="M816" s="16"/>
      <c r="N816" s="16"/>
      <c r="O816" s="16"/>
      <c r="S816" s="11"/>
      <c r="T816" s="11"/>
      <c r="U816" s="11"/>
      <c r="Y816" s="27"/>
      <c r="Z816" s="11"/>
      <c r="AE816" s="11"/>
      <c r="AH816" s="28"/>
      <c r="AI816" s="28"/>
      <c r="AJ816" s="12"/>
      <c r="AK816" s="29"/>
      <c r="AL816" s="12"/>
    </row>
    <row r="817" spans="9:38" x14ac:dyDescent="0.25">
      <c r="I817" s="15"/>
      <c r="K817" s="16"/>
      <c r="L817" s="16"/>
      <c r="M817" s="16"/>
      <c r="N817" s="16"/>
      <c r="O817" s="16"/>
      <c r="S817" s="11"/>
      <c r="T817" s="11"/>
      <c r="U817" s="11"/>
      <c r="Y817" s="27"/>
      <c r="Z817" s="11"/>
      <c r="AE817" s="11"/>
      <c r="AH817" s="28"/>
      <c r="AI817" s="28"/>
      <c r="AJ817" s="12"/>
      <c r="AK817" s="29"/>
      <c r="AL817" s="12"/>
    </row>
    <row r="818" spans="9:38" x14ac:dyDescent="0.25">
      <c r="I818" s="15"/>
      <c r="K818" s="16"/>
      <c r="L818" s="16"/>
      <c r="M818" s="16"/>
      <c r="N818" s="16"/>
      <c r="O818" s="16"/>
      <c r="S818" s="11"/>
      <c r="T818" s="11"/>
      <c r="U818" s="11"/>
      <c r="Y818" s="27"/>
      <c r="Z818" s="11"/>
      <c r="AE818" s="11"/>
      <c r="AH818" s="28"/>
      <c r="AI818" s="28"/>
      <c r="AJ818" s="12"/>
      <c r="AK818" s="29"/>
      <c r="AL818" s="12"/>
    </row>
    <row r="819" spans="9:38" x14ac:dyDescent="0.25">
      <c r="I819" s="15"/>
      <c r="K819" s="16"/>
      <c r="L819" s="16"/>
      <c r="M819" s="16"/>
      <c r="N819" s="16"/>
      <c r="O819" s="16"/>
      <c r="S819" s="11"/>
      <c r="T819" s="11"/>
      <c r="U819" s="11"/>
      <c r="Y819" s="27"/>
      <c r="Z819" s="11"/>
      <c r="AE819" s="11"/>
      <c r="AH819" s="28"/>
      <c r="AI819" s="28"/>
      <c r="AJ819" s="12"/>
      <c r="AK819" s="29"/>
      <c r="AL819" s="12"/>
    </row>
    <row r="820" spans="9:38" x14ac:dyDescent="0.25">
      <c r="I820" s="15"/>
      <c r="K820" s="16"/>
      <c r="L820" s="16"/>
      <c r="M820" s="16"/>
      <c r="N820" s="16"/>
      <c r="O820" s="16"/>
      <c r="S820" s="11"/>
      <c r="T820" s="11"/>
      <c r="U820" s="11"/>
      <c r="Y820" s="27"/>
      <c r="Z820" s="11"/>
      <c r="AE820" s="11"/>
      <c r="AH820" s="28"/>
      <c r="AI820" s="28"/>
      <c r="AJ820" s="12"/>
      <c r="AK820" s="29"/>
      <c r="AL820" s="12"/>
    </row>
    <row r="821" spans="9:38" x14ac:dyDescent="0.25">
      <c r="I821" s="15"/>
      <c r="K821" s="16"/>
      <c r="L821" s="16"/>
      <c r="M821" s="16"/>
      <c r="N821" s="16"/>
      <c r="O821" s="16"/>
      <c r="S821" s="11"/>
      <c r="T821" s="11"/>
      <c r="U821" s="11"/>
      <c r="Y821" s="27"/>
      <c r="Z821" s="11"/>
      <c r="AE821" s="11"/>
      <c r="AH821" s="28"/>
      <c r="AI821" s="28"/>
      <c r="AJ821" s="12"/>
      <c r="AK821" s="29"/>
      <c r="AL821" s="12"/>
    </row>
    <row r="822" spans="9:38" x14ac:dyDescent="0.25">
      <c r="I822" s="15"/>
      <c r="K822" s="16"/>
      <c r="L822" s="16"/>
      <c r="M822" s="16"/>
      <c r="N822" s="16"/>
      <c r="O822" s="16"/>
      <c r="S822" s="11"/>
      <c r="T822" s="11"/>
      <c r="U822" s="11"/>
      <c r="Y822" s="27"/>
      <c r="Z822" s="11"/>
      <c r="AE822" s="11"/>
      <c r="AH822" s="28"/>
      <c r="AI822" s="28"/>
      <c r="AJ822" s="12"/>
      <c r="AK822" s="29"/>
      <c r="AL822" s="12"/>
    </row>
    <row r="823" spans="9:38" x14ac:dyDescent="0.25">
      <c r="I823" s="15"/>
      <c r="K823" s="16"/>
      <c r="L823" s="16"/>
      <c r="M823" s="16"/>
      <c r="N823" s="16"/>
      <c r="O823" s="16"/>
      <c r="S823" s="11"/>
      <c r="T823" s="11"/>
      <c r="U823" s="11"/>
      <c r="Y823" s="27"/>
      <c r="Z823" s="11"/>
      <c r="AE823" s="11"/>
      <c r="AH823" s="28"/>
      <c r="AI823" s="28"/>
      <c r="AJ823" s="12"/>
      <c r="AK823" s="29"/>
      <c r="AL823" s="12"/>
    </row>
    <row r="824" spans="9:38" x14ac:dyDescent="0.25">
      <c r="I824" s="15"/>
      <c r="K824" s="16"/>
      <c r="L824" s="16"/>
      <c r="M824" s="16"/>
      <c r="N824" s="16"/>
      <c r="O824" s="16"/>
      <c r="S824" s="11"/>
      <c r="T824" s="11"/>
      <c r="U824" s="11"/>
      <c r="Y824" s="27"/>
      <c r="Z824" s="11"/>
      <c r="AE824" s="11"/>
      <c r="AH824" s="28"/>
      <c r="AI824" s="28"/>
      <c r="AJ824" s="12"/>
      <c r="AK824" s="29"/>
      <c r="AL824" s="12"/>
    </row>
    <row r="825" spans="9:38" x14ac:dyDescent="0.25">
      <c r="I825" s="15"/>
      <c r="K825" s="16"/>
      <c r="L825" s="16"/>
      <c r="M825" s="16"/>
      <c r="N825" s="16"/>
      <c r="O825" s="16"/>
      <c r="S825" s="11"/>
      <c r="T825" s="11"/>
      <c r="U825" s="11"/>
      <c r="Y825" s="27"/>
      <c r="Z825" s="11"/>
      <c r="AE825" s="11"/>
      <c r="AH825" s="28"/>
      <c r="AI825" s="28"/>
      <c r="AJ825" s="12"/>
      <c r="AK825" s="29"/>
      <c r="AL825" s="12"/>
    </row>
    <row r="826" spans="9:38" x14ac:dyDescent="0.25">
      <c r="I826" s="15"/>
      <c r="K826" s="16"/>
      <c r="L826" s="16"/>
      <c r="M826" s="16"/>
      <c r="N826" s="16"/>
      <c r="O826" s="16"/>
      <c r="S826" s="11"/>
      <c r="T826" s="11"/>
      <c r="U826" s="11"/>
      <c r="Y826" s="27"/>
      <c r="Z826" s="11"/>
      <c r="AE826" s="11"/>
      <c r="AH826" s="28"/>
      <c r="AI826" s="28"/>
      <c r="AJ826" s="12"/>
      <c r="AK826" s="29"/>
      <c r="AL826" s="12"/>
    </row>
    <row r="827" spans="9:38" x14ac:dyDescent="0.25">
      <c r="I827" s="15"/>
      <c r="K827" s="16"/>
      <c r="L827" s="16"/>
      <c r="M827" s="16"/>
      <c r="N827" s="16"/>
      <c r="O827" s="16"/>
      <c r="S827" s="11"/>
      <c r="T827" s="11"/>
      <c r="U827" s="11"/>
      <c r="Y827" s="27"/>
      <c r="Z827" s="11"/>
      <c r="AE827" s="11"/>
      <c r="AH827" s="28"/>
      <c r="AI827" s="28"/>
      <c r="AJ827" s="12"/>
      <c r="AK827" s="29"/>
      <c r="AL827" s="12"/>
    </row>
    <row r="828" spans="9:38" x14ac:dyDescent="0.25">
      <c r="I828" s="15"/>
      <c r="K828" s="16"/>
      <c r="L828" s="16"/>
      <c r="M828" s="16"/>
      <c r="N828" s="16"/>
      <c r="O828" s="16"/>
      <c r="S828" s="11"/>
      <c r="T828" s="11"/>
      <c r="U828" s="11"/>
      <c r="Y828" s="27"/>
      <c r="Z828" s="11"/>
      <c r="AE828" s="11"/>
      <c r="AH828" s="28"/>
      <c r="AI828" s="28"/>
      <c r="AJ828" s="12"/>
      <c r="AK828" s="29"/>
      <c r="AL828" s="12"/>
    </row>
    <row r="829" spans="9:38" x14ac:dyDescent="0.25">
      <c r="I829" s="15"/>
      <c r="K829" s="16"/>
      <c r="L829" s="16"/>
      <c r="M829" s="16"/>
      <c r="N829" s="16"/>
      <c r="O829" s="16"/>
      <c r="S829" s="11"/>
      <c r="T829" s="11"/>
      <c r="U829" s="11"/>
      <c r="Y829" s="27"/>
      <c r="Z829" s="11"/>
      <c r="AE829" s="11"/>
      <c r="AH829" s="28"/>
      <c r="AI829" s="28"/>
      <c r="AJ829" s="12"/>
      <c r="AK829" s="29"/>
      <c r="AL829" s="12"/>
    </row>
    <row r="830" spans="9:38" x14ac:dyDescent="0.25">
      <c r="I830" s="15"/>
      <c r="K830" s="16"/>
      <c r="L830" s="16"/>
      <c r="M830" s="16"/>
      <c r="N830" s="16"/>
      <c r="O830" s="16"/>
      <c r="S830" s="11"/>
      <c r="T830" s="11"/>
      <c r="U830" s="11"/>
      <c r="Y830" s="27"/>
      <c r="Z830" s="11"/>
      <c r="AE830" s="11"/>
      <c r="AH830" s="28"/>
      <c r="AI830" s="28"/>
      <c r="AJ830" s="12"/>
      <c r="AK830" s="29"/>
      <c r="AL830" s="12"/>
    </row>
    <row r="831" spans="9:38" x14ac:dyDescent="0.25">
      <c r="I831" s="15"/>
      <c r="K831" s="16"/>
      <c r="L831" s="16"/>
      <c r="M831" s="16"/>
      <c r="N831" s="16"/>
      <c r="O831" s="16"/>
      <c r="S831" s="11"/>
      <c r="T831" s="11"/>
      <c r="U831" s="11"/>
      <c r="Y831" s="27"/>
      <c r="Z831" s="11"/>
      <c r="AE831" s="11"/>
      <c r="AH831" s="28"/>
      <c r="AI831" s="28"/>
      <c r="AJ831" s="12"/>
      <c r="AK831" s="29"/>
      <c r="AL831" s="12"/>
    </row>
    <row r="832" spans="9:38" x14ac:dyDescent="0.25">
      <c r="I832" s="15"/>
      <c r="K832" s="16"/>
      <c r="L832" s="16"/>
      <c r="M832" s="16"/>
      <c r="N832" s="16"/>
      <c r="O832" s="16"/>
      <c r="S832" s="11"/>
      <c r="T832" s="11"/>
      <c r="U832" s="11"/>
      <c r="Y832" s="27"/>
      <c r="Z832" s="11"/>
      <c r="AE832" s="11"/>
      <c r="AH832" s="28"/>
      <c r="AI832" s="28"/>
      <c r="AJ832" s="12"/>
      <c r="AK832" s="29"/>
      <c r="AL832" s="12"/>
    </row>
    <row r="833" spans="9:38" x14ac:dyDescent="0.25">
      <c r="I833" s="15"/>
      <c r="K833" s="16"/>
      <c r="L833" s="16"/>
      <c r="M833" s="16"/>
      <c r="N833" s="16"/>
      <c r="O833" s="16"/>
      <c r="S833" s="11"/>
      <c r="T833" s="11"/>
      <c r="U833" s="11"/>
      <c r="Y833" s="27"/>
      <c r="Z833" s="11"/>
      <c r="AE833" s="11"/>
      <c r="AH833" s="28"/>
      <c r="AI833" s="28"/>
      <c r="AJ833" s="12"/>
      <c r="AK833" s="29"/>
      <c r="AL833" s="12"/>
    </row>
    <row r="834" spans="9:38" x14ac:dyDescent="0.25">
      <c r="I834" s="15"/>
      <c r="K834" s="16"/>
      <c r="L834" s="16"/>
      <c r="M834" s="16"/>
      <c r="N834" s="16"/>
      <c r="O834" s="16"/>
      <c r="S834" s="11"/>
      <c r="T834" s="11"/>
      <c r="U834" s="11"/>
      <c r="Y834" s="27"/>
      <c r="Z834" s="11"/>
      <c r="AE834" s="11"/>
      <c r="AH834" s="28"/>
      <c r="AI834" s="28"/>
      <c r="AJ834" s="12"/>
      <c r="AK834" s="29"/>
      <c r="AL834" s="12"/>
    </row>
    <row r="835" spans="9:38" x14ac:dyDescent="0.25">
      <c r="I835" s="15"/>
      <c r="K835" s="16"/>
      <c r="L835" s="16"/>
      <c r="M835" s="16"/>
      <c r="N835" s="16"/>
      <c r="O835" s="16"/>
      <c r="S835" s="11"/>
      <c r="T835" s="11"/>
      <c r="U835" s="11"/>
      <c r="Y835" s="27"/>
      <c r="Z835" s="11"/>
      <c r="AE835" s="11"/>
      <c r="AH835" s="28"/>
      <c r="AI835" s="28"/>
      <c r="AJ835" s="12"/>
      <c r="AK835" s="29"/>
      <c r="AL835" s="12"/>
    </row>
    <row r="836" spans="9:38" x14ac:dyDescent="0.25">
      <c r="I836" s="15"/>
      <c r="K836" s="16"/>
      <c r="L836" s="16"/>
      <c r="M836" s="16"/>
      <c r="N836" s="16"/>
      <c r="O836" s="16"/>
      <c r="S836" s="11"/>
      <c r="T836" s="11"/>
      <c r="U836" s="11"/>
      <c r="Y836" s="27"/>
      <c r="Z836" s="11"/>
      <c r="AE836" s="11"/>
      <c r="AH836" s="28"/>
      <c r="AI836" s="28"/>
      <c r="AJ836" s="12"/>
      <c r="AK836" s="29"/>
      <c r="AL836" s="12"/>
    </row>
    <row r="837" spans="9:38" x14ac:dyDescent="0.25">
      <c r="I837" s="15"/>
      <c r="K837" s="16"/>
      <c r="L837" s="16"/>
      <c r="M837" s="16"/>
      <c r="N837" s="16"/>
      <c r="O837" s="16"/>
      <c r="S837" s="11"/>
      <c r="T837" s="11"/>
      <c r="U837" s="11"/>
      <c r="Y837" s="27"/>
      <c r="Z837" s="11"/>
      <c r="AE837" s="11"/>
      <c r="AH837" s="28"/>
      <c r="AI837" s="28"/>
      <c r="AJ837" s="12"/>
      <c r="AK837" s="29"/>
      <c r="AL837" s="12"/>
    </row>
    <row r="838" spans="9:38" x14ac:dyDescent="0.25">
      <c r="I838" s="15"/>
      <c r="K838" s="16"/>
      <c r="L838" s="16"/>
      <c r="M838" s="16"/>
      <c r="N838" s="16"/>
      <c r="O838" s="16"/>
      <c r="S838" s="11"/>
      <c r="T838" s="11"/>
      <c r="U838" s="11"/>
      <c r="Y838" s="27"/>
      <c r="Z838" s="11"/>
      <c r="AE838" s="11"/>
      <c r="AH838" s="28"/>
      <c r="AI838" s="28"/>
      <c r="AJ838" s="12"/>
      <c r="AK838" s="29"/>
      <c r="AL838" s="12"/>
    </row>
    <row r="839" spans="9:38" x14ac:dyDescent="0.25">
      <c r="I839" s="15"/>
      <c r="K839" s="16"/>
      <c r="L839" s="16"/>
      <c r="M839" s="16"/>
      <c r="N839" s="16"/>
      <c r="O839" s="16"/>
      <c r="S839" s="11"/>
      <c r="T839" s="11"/>
      <c r="U839" s="11"/>
      <c r="Y839" s="27"/>
      <c r="Z839" s="11"/>
      <c r="AE839" s="11"/>
      <c r="AH839" s="28"/>
      <c r="AI839" s="28"/>
      <c r="AJ839" s="12"/>
      <c r="AK839" s="29"/>
      <c r="AL839" s="12"/>
    </row>
    <row r="840" spans="9:38" x14ac:dyDescent="0.25">
      <c r="I840" s="15"/>
      <c r="K840" s="16"/>
      <c r="L840" s="16"/>
      <c r="M840" s="16"/>
      <c r="N840" s="16"/>
      <c r="O840" s="16"/>
      <c r="S840" s="11"/>
      <c r="T840" s="11"/>
      <c r="U840" s="11"/>
      <c r="Y840" s="27"/>
      <c r="Z840" s="11"/>
      <c r="AE840" s="11"/>
      <c r="AH840" s="28"/>
      <c r="AI840" s="28"/>
      <c r="AJ840" s="12"/>
      <c r="AK840" s="29"/>
      <c r="AL840" s="12"/>
    </row>
    <row r="841" spans="9:38" x14ac:dyDescent="0.25">
      <c r="I841" s="15"/>
      <c r="K841" s="16"/>
      <c r="L841" s="16"/>
      <c r="M841" s="16"/>
      <c r="N841" s="16"/>
      <c r="O841" s="16"/>
      <c r="S841" s="11"/>
      <c r="T841" s="11"/>
      <c r="U841" s="11"/>
      <c r="Y841" s="27"/>
      <c r="Z841" s="11"/>
      <c r="AE841" s="11"/>
      <c r="AH841" s="28"/>
      <c r="AI841" s="28"/>
      <c r="AJ841" s="12"/>
      <c r="AK841" s="29"/>
      <c r="AL841" s="12"/>
    </row>
    <row r="842" spans="9:38" x14ac:dyDescent="0.25">
      <c r="I842" s="15"/>
      <c r="K842" s="16"/>
      <c r="L842" s="16"/>
      <c r="M842" s="16"/>
      <c r="N842" s="16"/>
      <c r="O842" s="16"/>
      <c r="S842" s="11"/>
      <c r="T842" s="11"/>
      <c r="U842" s="11"/>
      <c r="Y842" s="27"/>
      <c r="Z842" s="11"/>
      <c r="AE842" s="11"/>
      <c r="AH842" s="28"/>
      <c r="AI842" s="28"/>
      <c r="AJ842" s="12"/>
      <c r="AK842" s="29"/>
      <c r="AL842" s="12"/>
    </row>
    <row r="843" spans="9:38" x14ac:dyDescent="0.25">
      <c r="I843" s="15"/>
      <c r="K843" s="16"/>
      <c r="L843" s="16"/>
      <c r="M843" s="16"/>
      <c r="N843" s="16"/>
      <c r="O843" s="16"/>
      <c r="S843" s="11"/>
      <c r="T843" s="11"/>
      <c r="U843" s="11"/>
      <c r="Y843" s="27"/>
      <c r="Z843" s="11"/>
      <c r="AE843" s="11"/>
      <c r="AH843" s="28"/>
      <c r="AI843" s="28"/>
      <c r="AJ843" s="12"/>
      <c r="AK843" s="29"/>
      <c r="AL843" s="12"/>
    </row>
    <row r="844" spans="9:38" x14ac:dyDescent="0.25">
      <c r="I844" s="15"/>
      <c r="K844" s="16"/>
      <c r="L844" s="16"/>
      <c r="M844" s="16"/>
      <c r="N844" s="16"/>
      <c r="O844" s="16"/>
      <c r="S844" s="11"/>
      <c r="T844" s="11"/>
      <c r="U844" s="11"/>
      <c r="Y844" s="27"/>
      <c r="Z844" s="11"/>
      <c r="AE844" s="11"/>
      <c r="AH844" s="28"/>
      <c r="AI844" s="28"/>
      <c r="AJ844" s="12"/>
      <c r="AK844" s="29"/>
      <c r="AL844" s="12"/>
    </row>
    <row r="845" spans="9:38" x14ac:dyDescent="0.25">
      <c r="I845" s="15"/>
      <c r="K845" s="16"/>
      <c r="L845" s="16"/>
      <c r="M845" s="16"/>
      <c r="N845" s="16"/>
      <c r="O845" s="16"/>
      <c r="S845" s="11"/>
      <c r="T845" s="11"/>
      <c r="U845" s="11"/>
      <c r="Y845" s="27"/>
      <c r="Z845" s="11"/>
      <c r="AE845" s="11"/>
      <c r="AH845" s="28"/>
      <c r="AI845" s="28"/>
      <c r="AJ845" s="12"/>
      <c r="AK845" s="29"/>
      <c r="AL845" s="12"/>
    </row>
    <row r="846" spans="9:38" x14ac:dyDescent="0.25">
      <c r="I846" s="15"/>
      <c r="K846" s="16"/>
      <c r="L846" s="16"/>
      <c r="M846" s="16"/>
      <c r="N846" s="16"/>
      <c r="O846" s="16"/>
      <c r="S846" s="11"/>
      <c r="T846" s="11"/>
      <c r="U846" s="11"/>
      <c r="Y846" s="27"/>
      <c r="Z846" s="11"/>
      <c r="AE846" s="11"/>
      <c r="AH846" s="28"/>
      <c r="AI846" s="28"/>
      <c r="AJ846" s="12"/>
      <c r="AK846" s="29"/>
      <c r="AL846" s="12"/>
    </row>
    <row r="847" spans="9:38" x14ac:dyDescent="0.25">
      <c r="I847" s="15"/>
      <c r="K847" s="16"/>
      <c r="L847" s="16"/>
      <c r="M847" s="16"/>
      <c r="N847" s="16"/>
      <c r="O847" s="16"/>
      <c r="S847" s="11"/>
      <c r="T847" s="11"/>
      <c r="U847" s="11"/>
      <c r="Y847" s="27"/>
      <c r="Z847" s="11"/>
      <c r="AE847" s="11"/>
      <c r="AH847" s="28"/>
      <c r="AI847" s="28"/>
      <c r="AJ847" s="12"/>
      <c r="AK847" s="29"/>
      <c r="AL847" s="12"/>
    </row>
    <row r="848" spans="9:38" x14ac:dyDescent="0.25">
      <c r="I848" s="15"/>
      <c r="K848" s="16"/>
      <c r="L848" s="16"/>
      <c r="M848" s="16"/>
      <c r="N848" s="16"/>
      <c r="O848" s="16"/>
      <c r="S848" s="11"/>
      <c r="T848" s="11"/>
      <c r="U848" s="11"/>
      <c r="Y848" s="27"/>
      <c r="Z848" s="11"/>
      <c r="AE848" s="11"/>
      <c r="AH848" s="28"/>
      <c r="AI848" s="28"/>
      <c r="AJ848" s="12"/>
      <c r="AK848" s="29"/>
      <c r="AL848" s="12"/>
    </row>
    <row r="849" spans="9:38" x14ac:dyDescent="0.25">
      <c r="I849" s="15"/>
      <c r="K849" s="16"/>
      <c r="L849" s="16"/>
      <c r="M849" s="16"/>
      <c r="N849" s="16"/>
      <c r="O849" s="16"/>
      <c r="S849" s="11"/>
      <c r="T849" s="11"/>
      <c r="U849" s="11"/>
      <c r="Y849" s="27"/>
      <c r="Z849" s="11"/>
      <c r="AE849" s="11"/>
      <c r="AH849" s="28"/>
      <c r="AI849" s="28"/>
      <c r="AJ849" s="12"/>
      <c r="AK849" s="29"/>
      <c r="AL849" s="12"/>
    </row>
    <row r="850" spans="9:38" x14ac:dyDescent="0.25">
      <c r="I850" s="15"/>
      <c r="K850" s="16"/>
      <c r="L850" s="16"/>
      <c r="M850" s="16"/>
      <c r="N850" s="16"/>
      <c r="O850" s="16"/>
      <c r="S850" s="11"/>
      <c r="T850" s="11"/>
      <c r="U850" s="11"/>
      <c r="Y850" s="27"/>
      <c r="Z850" s="11"/>
      <c r="AE850" s="11"/>
      <c r="AH850" s="28"/>
      <c r="AI850" s="28"/>
      <c r="AJ850" s="12"/>
      <c r="AK850" s="29"/>
      <c r="AL850" s="12"/>
    </row>
    <row r="851" spans="9:38" x14ac:dyDescent="0.25">
      <c r="I851" s="15"/>
      <c r="K851" s="16"/>
      <c r="L851" s="16"/>
      <c r="M851" s="16"/>
      <c r="N851" s="16"/>
      <c r="O851" s="16"/>
      <c r="S851" s="11"/>
      <c r="T851" s="11"/>
      <c r="U851" s="11"/>
      <c r="Y851" s="27"/>
      <c r="Z851" s="11"/>
      <c r="AE851" s="11"/>
      <c r="AH851" s="28"/>
      <c r="AI851" s="28"/>
      <c r="AJ851" s="12"/>
      <c r="AK851" s="29"/>
      <c r="AL851" s="12"/>
    </row>
    <row r="852" spans="9:38" x14ac:dyDescent="0.25">
      <c r="I852" s="15"/>
      <c r="K852" s="16"/>
      <c r="L852" s="16"/>
      <c r="M852" s="16"/>
      <c r="N852" s="16"/>
      <c r="O852" s="16"/>
      <c r="S852" s="11"/>
      <c r="T852" s="11"/>
      <c r="U852" s="11"/>
      <c r="Y852" s="27"/>
      <c r="Z852" s="11"/>
      <c r="AE852" s="11"/>
      <c r="AH852" s="28"/>
      <c r="AI852" s="28"/>
      <c r="AJ852" s="12"/>
      <c r="AK852" s="29"/>
      <c r="AL852" s="12"/>
    </row>
    <row r="853" spans="9:38" x14ac:dyDescent="0.25">
      <c r="I853" s="15"/>
      <c r="K853" s="16"/>
      <c r="L853" s="16"/>
      <c r="M853" s="16"/>
      <c r="N853" s="16"/>
      <c r="O853" s="16"/>
      <c r="S853" s="11"/>
      <c r="T853" s="11"/>
      <c r="U853" s="11"/>
      <c r="Y853" s="27"/>
      <c r="Z853" s="11"/>
      <c r="AE853" s="11"/>
      <c r="AH853" s="28"/>
      <c r="AI853" s="28"/>
      <c r="AJ853" s="12"/>
      <c r="AK853" s="29"/>
      <c r="AL853" s="12"/>
    </row>
    <row r="854" spans="9:38" x14ac:dyDescent="0.25">
      <c r="I854" s="15"/>
      <c r="K854" s="16"/>
      <c r="L854" s="16"/>
      <c r="M854" s="16"/>
      <c r="N854" s="16"/>
      <c r="O854" s="16"/>
      <c r="S854" s="11"/>
      <c r="T854" s="11"/>
      <c r="U854" s="11"/>
      <c r="Y854" s="27"/>
      <c r="Z854" s="11"/>
      <c r="AE854" s="11"/>
      <c r="AH854" s="28"/>
      <c r="AI854" s="28"/>
      <c r="AJ854" s="12"/>
      <c r="AK854" s="29"/>
      <c r="AL854" s="12"/>
    </row>
    <row r="855" spans="9:38" x14ac:dyDescent="0.25">
      <c r="I855" s="15"/>
      <c r="K855" s="16"/>
      <c r="L855" s="16"/>
      <c r="M855" s="16"/>
      <c r="N855" s="16"/>
      <c r="O855" s="16"/>
      <c r="S855" s="11"/>
      <c r="T855" s="11"/>
      <c r="U855" s="11"/>
      <c r="Y855" s="27"/>
      <c r="Z855" s="11"/>
      <c r="AE855" s="11"/>
      <c r="AH855" s="28"/>
      <c r="AI855" s="28"/>
      <c r="AJ855" s="12"/>
      <c r="AK855" s="29"/>
      <c r="AL855" s="12"/>
    </row>
    <row r="856" spans="9:38" x14ac:dyDescent="0.25">
      <c r="I856" s="15"/>
      <c r="K856" s="16"/>
      <c r="L856" s="16"/>
      <c r="M856" s="16"/>
      <c r="N856" s="16"/>
      <c r="O856" s="16"/>
      <c r="S856" s="11"/>
      <c r="T856" s="11"/>
      <c r="U856" s="11"/>
      <c r="Y856" s="27"/>
      <c r="Z856" s="11"/>
      <c r="AE856" s="11"/>
      <c r="AH856" s="28"/>
      <c r="AI856" s="28"/>
      <c r="AJ856" s="12"/>
      <c r="AK856" s="29"/>
      <c r="AL856" s="12"/>
    </row>
    <row r="857" spans="9:38" x14ac:dyDescent="0.25">
      <c r="I857" s="15"/>
      <c r="K857" s="16"/>
      <c r="L857" s="16"/>
      <c r="M857" s="16"/>
      <c r="N857" s="16"/>
      <c r="O857" s="16"/>
      <c r="S857" s="11"/>
      <c r="T857" s="11"/>
      <c r="U857" s="11"/>
      <c r="Y857" s="27"/>
      <c r="Z857" s="11"/>
      <c r="AE857" s="11"/>
      <c r="AH857" s="28"/>
      <c r="AI857" s="28"/>
      <c r="AJ857" s="12"/>
      <c r="AK857" s="29"/>
      <c r="AL857" s="12"/>
    </row>
    <row r="858" spans="9:38" x14ac:dyDescent="0.25">
      <c r="I858" s="15"/>
      <c r="K858" s="16"/>
      <c r="L858" s="16"/>
      <c r="M858" s="16"/>
      <c r="N858" s="16"/>
      <c r="O858" s="16"/>
      <c r="S858" s="11"/>
      <c r="T858" s="11"/>
      <c r="U858" s="11"/>
      <c r="Y858" s="27"/>
      <c r="Z858" s="11"/>
      <c r="AE858" s="11"/>
      <c r="AH858" s="28"/>
      <c r="AI858" s="28"/>
      <c r="AJ858" s="12"/>
      <c r="AK858" s="29"/>
      <c r="AL858" s="12"/>
    </row>
    <row r="859" spans="9:38" x14ac:dyDescent="0.25">
      <c r="I859" s="15"/>
      <c r="K859" s="16"/>
      <c r="L859" s="16"/>
      <c r="M859" s="16"/>
      <c r="N859" s="16"/>
      <c r="O859" s="16"/>
      <c r="S859" s="11"/>
      <c r="T859" s="11"/>
      <c r="U859" s="11"/>
      <c r="Y859" s="27"/>
      <c r="Z859" s="11"/>
      <c r="AE859" s="11"/>
      <c r="AH859" s="28"/>
      <c r="AI859" s="28"/>
      <c r="AJ859" s="12"/>
      <c r="AK859" s="29"/>
      <c r="AL859" s="12"/>
    </row>
    <row r="860" spans="9:38" x14ac:dyDescent="0.25">
      <c r="I860" s="15"/>
      <c r="K860" s="16"/>
      <c r="L860" s="16"/>
      <c r="M860" s="16"/>
      <c r="N860" s="16"/>
      <c r="O860" s="16"/>
      <c r="S860" s="11"/>
      <c r="T860" s="11"/>
      <c r="U860" s="11"/>
      <c r="Y860" s="27"/>
      <c r="Z860" s="11"/>
      <c r="AE860" s="11"/>
      <c r="AH860" s="28"/>
      <c r="AI860" s="28"/>
      <c r="AJ860" s="12"/>
      <c r="AK860" s="29"/>
      <c r="AL860" s="12"/>
    </row>
    <row r="861" spans="9:38" x14ac:dyDescent="0.25">
      <c r="I861" s="15"/>
      <c r="K861" s="16"/>
      <c r="L861" s="16"/>
      <c r="M861" s="16"/>
      <c r="N861" s="16"/>
      <c r="O861" s="16"/>
      <c r="S861" s="11"/>
      <c r="T861" s="11"/>
      <c r="U861" s="11"/>
      <c r="Y861" s="27"/>
      <c r="Z861" s="11"/>
      <c r="AE861" s="11"/>
      <c r="AH861" s="28"/>
      <c r="AI861" s="28"/>
      <c r="AJ861" s="12"/>
      <c r="AK861" s="29"/>
      <c r="AL861" s="12"/>
    </row>
    <row r="862" spans="9:38" x14ac:dyDescent="0.25">
      <c r="I862" s="15"/>
      <c r="K862" s="16"/>
      <c r="L862" s="16"/>
      <c r="M862" s="16"/>
      <c r="N862" s="16"/>
      <c r="O862" s="16"/>
      <c r="S862" s="11"/>
      <c r="T862" s="11"/>
      <c r="U862" s="11"/>
      <c r="Y862" s="27"/>
      <c r="Z862" s="11"/>
      <c r="AE862" s="11"/>
      <c r="AH862" s="28"/>
      <c r="AI862" s="28"/>
      <c r="AJ862" s="12"/>
      <c r="AK862" s="29"/>
      <c r="AL862" s="12"/>
    </row>
    <row r="863" spans="9:38" x14ac:dyDescent="0.25">
      <c r="I863" s="15"/>
      <c r="K863" s="16"/>
      <c r="L863" s="16"/>
      <c r="M863" s="16"/>
      <c r="N863" s="16"/>
      <c r="O863" s="16"/>
      <c r="S863" s="11"/>
      <c r="T863" s="11"/>
      <c r="U863" s="11"/>
      <c r="Y863" s="27"/>
      <c r="Z863" s="11"/>
      <c r="AE863" s="11"/>
      <c r="AH863" s="28"/>
      <c r="AI863" s="28"/>
      <c r="AJ863" s="12"/>
      <c r="AK863" s="29"/>
      <c r="AL863" s="12"/>
    </row>
    <row r="864" spans="9:38" x14ac:dyDescent="0.25">
      <c r="I864" s="15"/>
      <c r="K864" s="16"/>
      <c r="L864" s="16"/>
      <c r="M864" s="16"/>
      <c r="N864" s="16"/>
      <c r="O864" s="16"/>
      <c r="S864" s="11"/>
      <c r="T864" s="11"/>
      <c r="U864" s="11"/>
      <c r="Y864" s="27"/>
      <c r="Z864" s="11"/>
      <c r="AE864" s="11"/>
      <c r="AH864" s="28"/>
      <c r="AI864" s="28"/>
      <c r="AJ864" s="12"/>
      <c r="AK864" s="29"/>
      <c r="AL864" s="12"/>
    </row>
    <row r="865" spans="9:38" x14ac:dyDescent="0.25">
      <c r="I865" s="15"/>
      <c r="K865" s="16"/>
      <c r="L865" s="16"/>
      <c r="M865" s="16"/>
      <c r="N865" s="16"/>
      <c r="O865" s="16"/>
      <c r="S865" s="11"/>
      <c r="T865" s="11"/>
      <c r="U865" s="11"/>
      <c r="Y865" s="27"/>
      <c r="Z865" s="11"/>
      <c r="AE865" s="11"/>
      <c r="AH865" s="28"/>
      <c r="AI865" s="28"/>
      <c r="AJ865" s="12"/>
      <c r="AK865" s="29"/>
      <c r="AL865" s="12"/>
    </row>
    <row r="866" spans="9:38" x14ac:dyDescent="0.25">
      <c r="I866" s="15"/>
      <c r="K866" s="16"/>
      <c r="L866" s="16"/>
      <c r="M866" s="16"/>
      <c r="N866" s="16"/>
      <c r="O866" s="16"/>
      <c r="S866" s="11"/>
      <c r="T866" s="11"/>
      <c r="U866" s="11"/>
      <c r="Y866" s="27"/>
      <c r="Z866" s="11"/>
      <c r="AE866" s="11"/>
      <c r="AH866" s="28"/>
      <c r="AI866" s="28"/>
      <c r="AJ866" s="12"/>
      <c r="AK866" s="29"/>
      <c r="AL866" s="12"/>
    </row>
    <row r="867" spans="9:38" x14ac:dyDescent="0.25">
      <c r="I867" s="15"/>
      <c r="K867" s="16"/>
      <c r="L867" s="16"/>
      <c r="M867" s="16"/>
      <c r="N867" s="16"/>
      <c r="O867" s="16"/>
      <c r="S867" s="11"/>
      <c r="T867" s="11"/>
      <c r="U867" s="11"/>
      <c r="Y867" s="27"/>
      <c r="Z867" s="11"/>
      <c r="AE867" s="11"/>
      <c r="AH867" s="28"/>
      <c r="AI867" s="28"/>
      <c r="AJ867" s="12"/>
      <c r="AK867" s="29"/>
      <c r="AL867" s="12"/>
    </row>
    <row r="868" spans="9:38" x14ac:dyDescent="0.25">
      <c r="I868" s="15"/>
      <c r="K868" s="16"/>
      <c r="L868" s="16"/>
      <c r="M868" s="16"/>
      <c r="N868" s="16"/>
      <c r="O868" s="16"/>
      <c r="S868" s="11"/>
      <c r="T868" s="11"/>
      <c r="U868" s="11"/>
      <c r="Y868" s="27"/>
      <c r="Z868" s="11"/>
      <c r="AE868" s="11"/>
      <c r="AH868" s="28"/>
      <c r="AI868" s="28"/>
      <c r="AJ868" s="12"/>
      <c r="AK868" s="29"/>
      <c r="AL868" s="12"/>
    </row>
    <row r="869" spans="9:38" x14ac:dyDescent="0.25">
      <c r="I869" s="15"/>
      <c r="K869" s="16"/>
      <c r="L869" s="16"/>
      <c r="M869" s="16"/>
      <c r="N869" s="16"/>
      <c r="O869" s="16"/>
      <c r="S869" s="11"/>
      <c r="T869" s="11"/>
      <c r="U869" s="11"/>
      <c r="Y869" s="27"/>
      <c r="Z869" s="11"/>
      <c r="AE869" s="11"/>
      <c r="AH869" s="28"/>
      <c r="AI869" s="28"/>
      <c r="AJ869" s="12"/>
      <c r="AK869" s="29"/>
      <c r="AL869" s="12"/>
    </row>
    <row r="870" spans="9:38" x14ac:dyDescent="0.25">
      <c r="I870" s="15"/>
      <c r="K870" s="16"/>
      <c r="L870" s="16"/>
      <c r="M870" s="16"/>
      <c r="N870" s="16"/>
      <c r="O870" s="16"/>
      <c r="S870" s="11"/>
      <c r="T870" s="11"/>
      <c r="U870" s="11"/>
      <c r="Y870" s="27"/>
      <c r="Z870" s="11"/>
      <c r="AE870" s="11"/>
      <c r="AH870" s="28"/>
      <c r="AI870" s="28"/>
      <c r="AJ870" s="12"/>
      <c r="AK870" s="29"/>
      <c r="AL870" s="12"/>
    </row>
    <row r="871" spans="9:38" x14ac:dyDescent="0.25">
      <c r="I871" s="15"/>
      <c r="K871" s="16"/>
      <c r="L871" s="16"/>
      <c r="M871" s="16"/>
      <c r="N871" s="16"/>
      <c r="O871" s="16"/>
      <c r="S871" s="11"/>
      <c r="T871" s="11"/>
      <c r="U871" s="11"/>
      <c r="Y871" s="27"/>
      <c r="Z871" s="11"/>
      <c r="AE871" s="11"/>
      <c r="AH871" s="28"/>
      <c r="AI871" s="28"/>
      <c r="AJ871" s="12"/>
      <c r="AK871" s="29"/>
      <c r="AL871" s="12"/>
    </row>
    <row r="872" spans="9:38" x14ac:dyDescent="0.25">
      <c r="I872" s="15"/>
      <c r="K872" s="16"/>
      <c r="L872" s="16"/>
      <c r="M872" s="16"/>
      <c r="N872" s="16"/>
      <c r="O872" s="16"/>
      <c r="S872" s="11"/>
      <c r="T872" s="11"/>
      <c r="U872" s="11"/>
      <c r="Y872" s="27"/>
      <c r="Z872" s="11"/>
      <c r="AE872" s="11"/>
      <c r="AH872" s="28"/>
      <c r="AI872" s="28"/>
      <c r="AJ872" s="12"/>
      <c r="AK872" s="29"/>
      <c r="AL872" s="12"/>
    </row>
    <row r="873" spans="9:38" x14ac:dyDescent="0.25">
      <c r="I873" s="15"/>
      <c r="K873" s="16"/>
      <c r="L873" s="16"/>
      <c r="M873" s="16"/>
      <c r="N873" s="16"/>
      <c r="O873" s="16"/>
      <c r="S873" s="11"/>
      <c r="T873" s="11"/>
      <c r="U873" s="11"/>
      <c r="Y873" s="27"/>
      <c r="Z873" s="11"/>
      <c r="AE873" s="11"/>
      <c r="AH873" s="28"/>
      <c r="AI873" s="28"/>
      <c r="AJ873" s="12"/>
      <c r="AK873" s="29"/>
      <c r="AL873" s="12"/>
    </row>
    <row r="874" spans="9:38" x14ac:dyDescent="0.25">
      <c r="I874" s="15"/>
      <c r="K874" s="16"/>
      <c r="L874" s="16"/>
      <c r="M874" s="16"/>
      <c r="N874" s="16"/>
      <c r="O874" s="16"/>
      <c r="S874" s="11"/>
      <c r="T874" s="11"/>
      <c r="U874" s="11"/>
      <c r="Y874" s="27"/>
      <c r="Z874" s="11"/>
      <c r="AE874" s="11"/>
      <c r="AH874" s="28"/>
      <c r="AI874" s="28"/>
      <c r="AJ874" s="12"/>
      <c r="AK874" s="29"/>
      <c r="AL874" s="12"/>
    </row>
    <row r="875" spans="9:38" x14ac:dyDescent="0.25">
      <c r="I875" s="15"/>
      <c r="K875" s="16"/>
      <c r="L875" s="16"/>
      <c r="M875" s="16"/>
      <c r="N875" s="16"/>
      <c r="O875" s="16"/>
      <c r="S875" s="11"/>
      <c r="T875" s="11"/>
      <c r="U875" s="11"/>
      <c r="Y875" s="27"/>
      <c r="Z875" s="11"/>
      <c r="AE875" s="11"/>
      <c r="AH875" s="28"/>
      <c r="AI875" s="28"/>
      <c r="AJ875" s="12"/>
      <c r="AK875" s="29"/>
      <c r="AL875" s="12"/>
    </row>
    <row r="876" spans="9:38" x14ac:dyDescent="0.25">
      <c r="I876" s="15"/>
      <c r="K876" s="16"/>
      <c r="L876" s="16"/>
      <c r="M876" s="16"/>
      <c r="N876" s="16"/>
      <c r="O876" s="16"/>
      <c r="S876" s="11"/>
      <c r="T876" s="11"/>
      <c r="U876" s="11"/>
      <c r="Y876" s="27"/>
      <c r="Z876" s="11"/>
      <c r="AE876" s="11"/>
      <c r="AH876" s="28"/>
      <c r="AI876" s="28"/>
      <c r="AJ876" s="12"/>
      <c r="AK876" s="29"/>
      <c r="AL876" s="12"/>
    </row>
    <row r="877" spans="9:38" x14ac:dyDescent="0.25">
      <c r="I877" s="15"/>
      <c r="K877" s="16"/>
      <c r="L877" s="16"/>
      <c r="M877" s="16"/>
      <c r="N877" s="16"/>
      <c r="O877" s="16"/>
      <c r="S877" s="11"/>
      <c r="T877" s="11"/>
      <c r="U877" s="11"/>
      <c r="Y877" s="27"/>
      <c r="Z877" s="11"/>
      <c r="AE877" s="11"/>
      <c r="AH877" s="28"/>
      <c r="AI877" s="28"/>
      <c r="AJ877" s="12"/>
      <c r="AK877" s="29"/>
      <c r="AL877" s="12"/>
    </row>
    <row r="878" spans="9:38" x14ac:dyDescent="0.25">
      <c r="I878" s="15"/>
      <c r="K878" s="16"/>
      <c r="L878" s="16"/>
      <c r="M878" s="16"/>
      <c r="N878" s="16"/>
      <c r="O878" s="16"/>
      <c r="S878" s="11"/>
      <c r="T878" s="11"/>
      <c r="U878" s="11"/>
      <c r="Y878" s="27"/>
      <c r="Z878" s="11"/>
      <c r="AE878" s="11"/>
      <c r="AH878" s="28"/>
      <c r="AI878" s="28"/>
      <c r="AJ878" s="12"/>
      <c r="AK878" s="29"/>
      <c r="AL878" s="12"/>
    </row>
    <row r="879" spans="9:38" x14ac:dyDescent="0.25">
      <c r="I879" s="15"/>
      <c r="K879" s="16"/>
      <c r="L879" s="16"/>
      <c r="M879" s="16"/>
      <c r="N879" s="16"/>
      <c r="O879" s="16"/>
      <c r="S879" s="11"/>
      <c r="T879" s="11"/>
      <c r="U879" s="11"/>
      <c r="Y879" s="27"/>
      <c r="Z879" s="11"/>
      <c r="AE879" s="11"/>
      <c r="AH879" s="28"/>
      <c r="AI879" s="28"/>
      <c r="AJ879" s="12"/>
      <c r="AK879" s="29"/>
      <c r="AL879" s="12"/>
    </row>
    <row r="880" spans="9:38" x14ac:dyDescent="0.25">
      <c r="I880" s="15"/>
      <c r="K880" s="16"/>
      <c r="L880" s="16"/>
      <c r="M880" s="16"/>
      <c r="N880" s="16"/>
      <c r="O880" s="16"/>
      <c r="S880" s="11"/>
      <c r="T880" s="11"/>
      <c r="U880" s="11"/>
      <c r="Y880" s="27"/>
      <c r="Z880" s="11"/>
      <c r="AE880" s="11"/>
      <c r="AH880" s="28"/>
      <c r="AI880" s="28"/>
      <c r="AJ880" s="12"/>
      <c r="AK880" s="29"/>
      <c r="AL880" s="12"/>
    </row>
    <row r="881" spans="9:38" x14ac:dyDescent="0.25">
      <c r="I881" s="15"/>
      <c r="K881" s="16"/>
      <c r="L881" s="16"/>
      <c r="M881" s="16"/>
      <c r="N881" s="16"/>
      <c r="O881" s="16"/>
      <c r="S881" s="11"/>
      <c r="T881" s="11"/>
      <c r="U881" s="11"/>
      <c r="Y881" s="27"/>
      <c r="Z881" s="11"/>
      <c r="AE881" s="11"/>
      <c r="AH881" s="28"/>
      <c r="AI881" s="28"/>
      <c r="AJ881" s="12"/>
      <c r="AK881" s="29"/>
      <c r="AL881" s="12"/>
    </row>
    <row r="882" spans="9:38" x14ac:dyDescent="0.25">
      <c r="I882" s="15"/>
      <c r="K882" s="16"/>
      <c r="L882" s="16"/>
      <c r="M882" s="16"/>
      <c r="N882" s="16"/>
      <c r="O882" s="16"/>
      <c r="S882" s="11"/>
      <c r="T882" s="11"/>
      <c r="U882" s="11"/>
      <c r="Y882" s="27"/>
      <c r="Z882" s="11"/>
      <c r="AE882" s="11"/>
      <c r="AH882" s="28"/>
      <c r="AI882" s="28"/>
      <c r="AJ882" s="12"/>
      <c r="AK882" s="29"/>
      <c r="AL882" s="12"/>
    </row>
    <row r="883" spans="9:38" x14ac:dyDescent="0.25">
      <c r="I883" s="15"/>
      <c r="K883" s="16"/>
      <c r="L883" s="16"/>
      <c r="M883" s="16"/>
      <c r="N883" s="16"/>
      <c r="O883" s="16"/>
      <c r="S883" s="11"/>
      <c r="T883" s="11"/>
      <c r="U883" s="11"/>
      <c r="Y883" s="27"/>
      <c r="Z883" s="11"/>
      <c r="AE883" s="11"/>
      <c r="AH883" s="28"/>
      <c r="AI883" s="28"/>
      <c r="AJ883" s="12"/>
      <c r="AK883" s="29"/>
      <c r="AL883" s="12"/>
    </row>
    <row r="884" spans="9:38" x14ac:dyDescent="0.25">
      <c r="I884" s="15"/>
      <c r="K884" s="16"/>
      <c r="L884" s="16"/>
      <c r="M884" s="16"/>
      <c r="N884" s="16"/>
      <c r="O884" s="16"/>
      <c r="S884" s="11"/>
      <c r="T884" s="11"/>
      <c r="U884" s="11"/>
      <c r="Y884" s="27"/>
      <c r="Z884" s="11"/>
      <c r="AE884" s="11"/>
      <c r="AH884" s="28"/>
      <c r="AI884" s="28"/>
      <c r="AJ884" s="12"/>
      <c r="AK884" s="29"/>
      <c r="AL884" s="12"/>
    </row>
    <row r="885" spans="9:38" x14ac:dyDescent="0.25">
      <c r="I885" s="15"/>
      <c r="K885" s="16"/>
      <c r="L885" s="16"/>
      <c r="M885" s="16"/>
      <c r="N885" s="16"/>
      <c r="O885" s="16"/>
      <c r="S885" s="11"/>
      <c r="T885" s="11"/>
      <c r="U885" s="11"/>
      <c r="Y885" s="27"/>
      <c r="Z885" s="11"/>
      <c r="AE885" s="11"/>
      <c r="AH885" s="28"/>
      <c r="AI885" s="28"/>
      <c r="AJ885" s="12"/>
      <c r="AK885" s="29"/>
      <c r="AL885" s="12"/>
    </row>
    <row r="886" spans="9:38" x14ac:dyDescent="0.25">
      <c r="I886" s="15"/>
      <c r="K886" s="16"/>
      <c r="L886" s="16"/>
      <c r="M886" s="16"/>
      <c r="N886" s="16"/>
      <c r="O886" s="16"/>
      <c r="S886" s="11"/>
      <c r="T886" s="11"/>
      <c r="U886" s="11"/>
      <c r="Y886" s="27"/>
      <c r="Z886" s="11"/>
      <c r="AE886" s="11"/>
      <c r="AH886" s="28"/>
      <c r="AI886" s="28"/>
      <c r="AJ886" s="12"/>
      <c r="AK886" s="29"/>
      <c r="AL886" s="12"/>
    </row>
    <row r="887" spans="9:38" x14ac:dyDescent="0.25">
      <c r="I887" s="15"/>
      <c r="K887" s="16"/>
      <c r="L887" s="16"/>
      <c r="M887" s="16"/>
      <c r="N887" s="16"/>
      <c r="O887" s="16"/>
      <c r="S887" s="11"/>
      <c r="T887" s="11"/>
      <c r="U887" s="11"/>
      <c r="Y887" s="27"/>
      <c r="Z887" s="11"/>
      <c r="AE887" s="11"/>
      <c r="AH887" s="28"/>
      <c r="AI887" s="28"/>
      <c r="AJ887" s="12"/>
      <c r="AK887" s="29"/>
      <c r="AL887" s="12"/>
    </row>
    <row r="888" spans="9:38" x14ac:dyDescent="0.25">
      <c r="I888" s="15"/>
      <c r="K888" s="16"/>
      <c r="L888" s="16"/>
      <c r="M888" s="16"/>
      <c r="N888" s="16"/>
      <c r="O888" s="16"/>
      <c r="S888" s="11"/>
      <c r="T888" s="11"/>
      <c r="U888" s="11"/>
      <c r="Y888" s="27"/>
      <c r="Z888" s="11"/>
      <c r="AE888" s="11"/>
      <c r="AH888" s="28"/>
      <c r="AI888" s="28"/>
      <c r="AJ888" s="12"/>
      <c r="AK888" s="29"/>
      <c r="AL888" s="12"/>
    </row>
    <row r="889" spans="9:38" x14ac:dyDescent="0.25">
      <c r="I889" s="15"/>
      <c r="K889" s="16"/>
      <c r="L889" s="16"/>
      <c r="M889" s="16"/>
      <c r="N889" s="16"/>
      <c r="O889" s="16"/>
      <c r="S889" s="11"/>
      <c r="T889" s="11"/>
      <c r="U889" s="11"/>
      <c r="Y889" s="27"/>
      <c r="Z889" s="11"/>
      <c r="AE889" s="11"/>
      <c r="AH889" s="28"/>
      <c r="AI889" s="28"/>
      <c r="AJ889" s="12"/>
      <c r="AK889" s="29"/>
      <c r="AL889" s="12"/>
    </row>
    <row r="890" spans="9:38" x14ac:dyDescent="0.25">
      <c r="I890" s="15"/>
      <c r="K890" s="16"/>
      <c r="L890" s="16"/>
      <c r="M890" s="16"/>
      <c r="N890" s="16"/>
      <c r="O890" s="16"/>
      <c r="S890" s="11"/>
      <c r="T890" s="11"/>
      <c r="U890" s="11"/>
      <c r="Y890" s="27"/>
      <c r="Z890" s="11"/>
      <c r="AE890" s="11"/>
      <c r="AH890" s="28"/>
      <c r="AI890" s="28"/>
      <c r="AJ890" s="12"/>
      <c r="AK890" s="29"/>
      <c r="AL890" s="12"/>
    </row>
    <row r="891" spans="9:38" x14ac:dyDescent="0.25">
      <c r="I891" s="15"/>
      <c r="K891" s="16"/>
      <c r="L891" s="16"/>
      <c r="M891" s="16"/>
      <c r="N891" s="16"/>
      <c r="O891" s="16"/>
      <c r="S891" s="11"/>
      <c r="T891" s="11"/>
      <c r="U891" s="11"/>
      <c r="Y891" s="27"/>
      <c r="Z891" s="11"/>
      <c r="AE891" s="11"/>
      <c r="AH891" s="28"/>
      <c r="AI891" s="28"/>
      <c r="AJ891" s="12"/>
      <c r="AK891" s="29"/>
      <c r="AL891" s="12"/>
    </row>
    <row r="892" spans="9:38" x14ac:dyDescent="0.25">
      <c r="I892" s="15"/>
      <c r="K892" s="16"/>
      <c r="L892" s="16"/>
      <c r="M892" s="16"/>
      <c r="N892" s="16"/>
      <c r="O892" s="16"/>
      <c r="S892" s="11"/>
      <c r="T892" s="11"/>
      <c r="U892" s="11"/>
      <c r="Y892" s="27"/>
      <c r="Z892" s="11"/>
      <c r="AE892" s="11"/>
      <c r="AH892" s="28"/>
      <c r="AI892" s="28"/>
      <c r="AJ892" s="12"/>
      <c r="AK892" s="29"/>
      <c r="AL892" s="12"/>
    </row>
    <row r="893" spans="9:38" x14ac:dyDescent="0.25">
      <c r="I893" s="15"/>
      <c r="K893" s="16"/>
      <c r="L893" s="16"/>
      <c r="M893" s="16"/>
      <c r="N893" s="16"/>
      <c r="O893" s="16"/>
      <c r="S893" s="11"/>
      <c r="T893" s="11"/>
      <c r="U893" s="11"/>
      <c r="Y893" s="27"/>
      <c r="Z893" s="11"/>
      <c r="AE893" s="11"/>
      <c r="AH893" s="28"/>
      <c r="AI893" s="28"/>
      <c r="AJ893" s="12"/>
      <c r="AK893" s="29"/>
      <c r="AL893" s="12"/>
    </row>
    <row r="894" spans="9:38" x14ac:dyDescent="0.25">
      <c r="I894" s="15"/>
      <c r="K894" s="16"/>
      <c r="L894" s="16"/>
      <c r="M894" s="16"/>
      <c r="N894" s="16"/>
      <c r="O894" s="16"/>
      <c r="S894" s="11"/>
      <c r="T894" s="11"/>
      <c r="U894" s="11"/>
      <c r="Y894" s="27"/>
      <c r="Z894" s="11"/>
      <c r="AE894" s="11"/>
      <c r="AH894" s="28"/>
      <c r="AI894" s="28"/>
      <c r="AJ894" s="12"/>
      <c r="AK894" s="29"/>
      <c r="AL894" s="12"/>
    </row>
    <row r="895" spans="9:38" x14ac:dyDescent="0.25">
      <c r="I895" s="15"/>
      <c r="K895" s="16"/>
      <c r="L895" s="16"/>
      <c r="M895" s="16"/>
      <c r="N895" s="16"/>
      <c r="O895" s="16"/>
      <c r="S895" s="11"/>
      <c r="T895" s="11"/>
      <c r="U895" s="11"/>
      <c r="Y895" s="27"/>
      <c r="Z895" s="11"/>
      <c r="AE895" s="11"/>
      <c r="AH895" s="28"/>
      <c r="AI895" s="28"/>
      <c r="AJ895" s="12"/>
      <c r="AK895" s="29"/>
      <c r="AL895" s="12"/>
    </row>
    <row r="896" spans="9:38" x14ac:dyDescent="0.25">
      <c r="I896" s="15"/>
      <c r="K896" s="16"/>
      <c r="L896" s="16"/>
      <c r="M896" s="16"/>
      <c r="N896" s="16"/>
      <c r="O896" s="16"/>
      <c r="S896" s="11"/>
      <c r="T896" s="11"/>
      <c r="U896" s="11"/>
      <c r="Y896" s="27"/>
      <c r="Z896" s="11"/>
      <c r="AE896" s="11"/>
      <c r="AH896" s="28"/>
      <c r="AI896" s="28"/>
      <c r="AJ896" s="12"/>
      <c r="AK896" s="29"/>
      <c r="AL896" s="12"/>
    </row>
    <row r="897" spans="9:38" x14ac:dyDescent="0.25">
      <c r="I897" s="15"/>
      <c r="K897" s="16"/>
      <c r="L897" s="16"/>
      <c r="M897" s="16"/>
      <c r="N897" s="16"/>
      <c r="O897" s="16"/>
      <c r="S897" s="11"/>
      <c r="T897" s="11"/>
      <c r="U897" s="11"/>
      <c r="Y897" s="27"/>
      <c r="Z897" s="11"/>
      <c r="AE897" s="11"/>
      <c r="AH897" s="28"/>
      <c r="AI897" s="28"/>
      <c r="AJ897" s="12"/>
      <c r="AK897" s="29"/>
      <c r="AL897" s="12"/>
    </row>
    <row r="898" spans="9:38" x14ac:dyDescent="0.25">
      <c r="I898" s="15"/>
      <c r="K898" s="16"/>
      <c r="L898" s="16"/>
      <c r="M898" s="16"/>
      <c r="N898" s="16"/>
      <c r="O898" s="16"/>
      <c r="S898" s="11"/>
      <c r="T898" s="11"/>
      <c r="U898" s="11"/>
      <c r="Y898" s="27"/>
      <c r="Z898" s="11"/>
      <c r="AE898" s="11"/>
      <c r="AH898" s="28"/>
      <c r="AI898" s="28"/>
      <c r="AJ898" s="12"/>
      <c r="AK898" s="29"/>
      <c r="AL898" s="12"/>
    </row>
    <row r="899" spans="9:38" x14ac:dyDescent="0.25">
      <c r="I899" s="15"/>
      <c r="K899" s="16"/>
      <c r="L899" s="16"/>
      <c r="M899" s="16"/>
      <c r="N899" s="16"/>
      <c r="O899" s="16"/>
      <c r="S899" s="11"/>
      <c r="T899" s="11"/>
      <c r="U899" s="11"/>
      <c r="Y899" s="27"/>
      <c r="Z899" s="11"/>
      <c r="AE899" s="11"/>
      <c r="AH899" s="28"/>
      <c r="AI899" s="28"/>
      <c r="AJ899" s="12"/>
      <c r="AK899" s="29"/>
      <c r="AL899" s="12"/>
    </row>
    <row r="900" spans="9:38" x14ac:dyDescent="0.25">
      <c r="I900" s="15"/>
      <c r="K900" s="16"/>
      <c r="L900" s="16"/>
      <c r="M900" s="16"/>
      <c r="N900" s="16"/>
      <c r="O900" s="16"/>
      <c r="S900" s="11"/>
      <c r="T900" s="11"/>
      <c r="U900" s="11"/>
      <c r="Y900" s="27"/>
      <c r="Z900" s="11"/>
      <c r="AE900" s="11"/>
      <c r="AH900" s="28"/>
      <c r="AI900" s="28"/>
      <c r="AJ900" s="12"/>
      <c r="AK900" s="29"/>
      <c r="AL900" s="12"/>
    </row>
    <row r="901" spans="9:38" x14ac:dyDescent="0.25">
      <c r="I901" s="15"/>
      <c r="K901" s="16"/>
      <c r="L901" s="16"/>
      <c r="M901" s="16"/>
      <c r="N901" s="16"/>
      <c r="O901" s="16"/>
      <c r="S901" s="11"/>
      <c r="T901" s="11"/>
      <c r="U901" s="11"/>
      <c r="Y901" s="27"/>
      <c r="Z901" s="11"/>
      <c r="AE901" s="11"/>
      <c r="AH901" s="28"/>
      <c r="AI901" s="28"/>
      <c r="AJ901" s="12"/>
      <c r="AK901" s="29"/>
      <c r="AL901" s="12"/>
    </row>
    <row r="902" spans="9:38" x14ac:dyDescent="0.25">
      <c r="I902" s="15"/>
      <c r="K902" s="16"/>
      <c r="L902" s="16"/>
      <c r="M902" s="16"/>
      <c r="N902" s="16"/>
      <c r="O902" s="16"/>
      <c r="S902" s="11"/>
      <c r="T902" s="11"/>
      <c r="U902" s="11"/>
      <c r="Y902" s="27"/>
      <c r="Z902" s="11"/>
      <c r="AE902" s="11"/>
      <c r="AH902" s="28"/>
      <c r="AI902" s="28"/>
      <c r="AJ902" s="12"/>
      <c r="AK902" s="29"/>
      <c r="AL902" s="12"/>
    </row>
    <row r="903" spans="9:38" x14ac:dyDescent="0.25">
      <c r="I903" s="15"/>
      <c r="K903" s="16"/>
      <c r="L903" s="16"/>
      <c r="M903" s="16"/>
      <c r="N903" s="16"/>
      <c r="O903" s="16"/>
      <c r="S903" s="11"/>
      <c r="T903" s="11"/>
      <c r="U903" s="11"/>
      <c r="Y903" s="27"/>
      <c r="Z903" s="11"/>
      <c r="AE903" s="11"/>
      <c r="AH903" s="28"/>
      <c r="AI903" s="28"/>
      <c r="AJ903" s="12"/>
      <c r="AK903" s="29"/>
      <c r="AL903" s="12"/>
    </row>
    <row r="904" spans="9:38" x14ac:dyDescent="0.25">
      <c r="I904" s="15"/>
      <c r="K904" s="16"/>
      <c r="L904" s="16"/>
      <c r="M904" s="16"/>
      <c r="N904" s="16"/>
      <c r="O904" s="16"/>
      <c r="S904" s="11"/>
      <c r="T904" s="11"/>
      <c r="U904" s="11"/>
      <c r="Y904" s="27"/>
      <c r="Z904" s="11"/>
      <c r="AE904" s="11"/>
      <c r="AH904" s="28"/>
      <c r="AI904" s="28"/>
      <c r="AJ904" s="12"/>
      <c r="AK904" s="29"/>
      <c r="AL904" s="12"/>
    </row>
    <row r="905" spans="9:38" x14ac:dyDescent="0.25">
      <c r="I905" s="15"/>
      <c r="K905" s="16"/>
      <c r="L905" s="16"/>
      <c r="M905" s="16"/>
      <c r="N905" s="16"/>
      <c r="O905" s="16"/>
      <c r="S905" s="11"/>
      <c r="T905" s="11"/>
      <c r="U905" s="11"/>
      <c r="Y905" s="27"/>
      <c r="Z905" s="11"/>
      <c r="AE905" s="11"/>
      <c r="AH905" s="28"/>
      <c r="AI905" s="28"/>
      <c r="AJ905" s="12"/>
      <c r="AK905" s="29"/>
      <c r="AL905" s="12"/>
    </row>
    <row r="906" spans="9:38" x14ac:dyDescent="0.25">
      <c r="I906" s="15"/>
      <c r="K906" s="16"/>
      <c r="L906" s="16"/>
      <c r="M906" s="16"/>
      <c r="N906" s="16"/>
      <c r="O906" s="16"/>
      <c r="S906" s="11"/>
      <c r="T906" s="11"/>
      <c r="U906" s="11"/>
      <c r="Y906" s="27"/>
      <c r="Z906" s="11"/>
      <c r="AE906" s="11"/>
      <c r="AH906" s="28"/>
      <c r="AI906" s="28"/>
      <c r="AJ906" s="12"/>
      <c r="AK906" s="29"/>
      <c r="AL906" s="12"/>
    </row>
    <row r="907" spans="9:38" x14ac:dyDescent="0.25">
      <c r="I907" s="15"/>
      <c r="K907" s="16"/>
      <c r="L907" s="16"/>
      <c r="M907" s="16"/>
      <c r="N907" s="16"/>
      <c r="O907" s="16"/>
      <c r="S907" s="11"/>
      <c r="T907" s="11"/>
      <c r="U907" s="11"/>
      <c r="Y907" s="27"/>
      <c r="Z907" s="11"/>
      <c r="AE907" s="11"/>
      <c r="AH907" s="28"/>
      <c r="AI907" s="28"/>
      <c r="AJ907" s="12"/>
      <c r="AK907" s="29"/>
      <c r="AL907" s="12"/>
    </row>
    <row r="908" spans="9:38" x14ac:dyDescent="0.25">
      <c r="I908" s="15"/>
      <c r="K908" s="16"/>
      <c r="L908" s="16"/>
      <c r="M908" s="16"/>
      <c r="N908" s="16"/>
      <c r="O908" s="16"/>
      <c r="S908" s="11"/>
      <c r="T908" s="11"/>
      <c r="U908" s="11"/>
      <c r="Y908" s="27"/>
      <c r="Z908" s="11"/>
      <c r="AE908" s="11"/>
      <c r="AH908" s="28"/>
      <c r="AI908" s="28"/>
      <c r="AJ908" s="12"/>
      <c r="AK908" s="29"/>
      <c r="AL908" s="12"/>
    </row>
    <row r="909" spans="9:38" x14ac:dyDescent="0.25">
      <c r="I909" s="15"/>
      <c r="K909" s="16"/>
      <c r="L909" s="16"/>
      <c r="M909" s="16"/>
      <c r="N909" s="16"/>
      <c r="O909" s="16"/>
      <c r="S909" s="11"/>
      <c r="T909" s="11"/>
      <c r="U909" s="11"/>
      <c r="Y909" s="27"/>
      <c r="Z909" s="11"/>
      <c r="AE909" s="11"/>
      <c r="AH909" s="28"/>
      <c r="AI909" s="28"/>
      <c r="AJ909" s="12"/>
      <c r="AK909" s="29"/>
      <c r="AL909" s="12"/>
    </row>
    <row r="910" spans="9:38" x14ac:dyDescent="0.25">
      <c r="I910" s="15"/>
      <c r="K910" s="16"/>
      <c r="L910" s="16"/>
      <c r="M910" s="16"/>
      <c r="N910" s="16"/>
      <c r="O910" s="16"/>
      <c r="S910" s="11"/>
      <c r="T910" s="11"/>
      <c r="U910" s="11"/>
      <c r="Y910" s="27"/>
      <c r="Z910" s="11"/>
      <c r="AE910" s="11"/>
      <c r="AH910" s="28"/>
      <c r="AI910" s="28"/>
      <c r="AJ910" s="12"/>
      <c r="AK910" s="29"/>
      <c r="AL910" s="12"/>
    </row>
    <row r="911" spans="9:38" x14ac:dyDescent="0.25">
      <c r="I911" s="15"/>
      <c r="K911" s="16"/>
      <c r="L911" s="16"/>
      <c r="M911" s="16"/>
      <c r="N911" s="16"/>
      <c r="O911" s="16"/>
      <c r="S911" s="11"/>
      <c r="T911" s="11"/>
      <c r="U911" s="11"/>
      <c r="Y911" s="27"/>
      <c r="Z911" s="11"/>
      <c r="AE911" s="11"/>
      <c r="AH911" s="28"/>
      <c r="AI911" s="28"/>
      <c r="AJ911" s="12"/>
      <c r="AK911" s="29"/>
      <c r="AL911" s="12"/>
    </row>
    <row r="912" spans="9:38" x14ac:dyDescent="0.25">
      <c r="I912" s="15"/>
      <c r="K912" s="16"/>
      <c r="L912" s="16"/>
      <c r="M912" s="16"/>
      <c r="N912" s="16"/>
      <c r="O912" s="16"/>
      <c r="S912" s="11"/>
      <c r="T912" s="11"/>
      <c r="U912" s="11"/>
      <c r="Y912" s="27"/>
      <c r="Z912" s="11"/>
      <c r="AE912" s="11"/>
      <c r="AH912" s="28"/>
      <c r="AI912" s="28"/>
      <c r="AJ912" s="12"/>
      <c r="AK912" s="29"/>
      <c r="AL912" s="12"/>
    </row>
    <row r="913" spans="9:38" x14ac:dyDescent="0.25">
      <c r="I913" s="15"/>
      <c r="K913" s="16"/>
      <c r="L913" s="16"/>
      <c r="M913" s="16"/>
      <c r="N913" s="16"/>
      <c r="O913" s="16"/>
      <c r="S913" s="11"/>
      <c r="T913" s="11"/>
      <c r="U913" s="11"/>
      <c r="Y913" s="27"/>
      <c r="Z913" s="11"/>
      <c r="AE913" s="11"/>
      <c r="AH913" s="28"/>
      <c r="AI913" s="28"/>
      <c r="AJ913" s="12"/>
      <c r="AK913" s="29"/>
      <c r="AL913" s="12"/>
    </row>
    <row r="914" spans="9:38" x14ac:dyDescent="0.25">
      <c r="I914" s="15"/>
      <c r="K914" s="16"/>
      <c r="L914" s="16"/>
      <c r="M914" s="16"/>
      <c r="N914" s="16"/>
      <c r="O914" s="16"/>
      <c r="S914" s="11"/>
      <c r="T914" s="11"/>
      <c r="U914" s="11"/>
      <c r="Y914" s="27"/>
      <c r="Z914" s="11"/>
      <c r="AE914" s="11"/>
      <c r="AH914" s="28"/>
      <c r="AI914" s="28"/>
      <c r="AJ914" s="12"/>
      <c r="AK914" s="29"/>
      <c r="AL914" s="12"/>
    </row>
    <row r="915" spans="9:38" x14ac:dyDescent="0.25">
      <c r="I915" s="15"/>
      <c r="K915" s="16"/>
      <c r="L915" s="16"/>
      <c r="M915" s="16"/>
      <c r="N915" s="16"/>
      <c r="O915" s="16"/>
      <c r="S915" s="11"/>
      <c r="T915" s="11"/>
      <c r="U915" s="11"/>
      <c r="Y915" s="27"/>
      <c r="Z915" s="11"/>
      <c r="AE915" s="11"/>
      <c r="AH915" s="28"/>
      <c r="AI915" s="28"/>
      <c r="AJ915" s="12"/>
      <c r="AK915" s="29"/>
      <c r="AL915" s="12"/>
    </row>
    <row r="916" spans="9:38" x14ac:dyDescent="0.25">
      <c r="I916" s="15"/>
      <c r="K916" s="16"/>
      <c r="L916" s="16"/>
      <c r="M916" s="16"/>
      <c r="N916" s="16"/>
      <c r="O916" s="16"/>
      <c r="S916" s="11"/>
      <c r="T916" s="11"/>
      <c r="U916" s="11"/>
      <c r="Y916" s="27"/>
      <c r="Z916" s="11"/>
      <c r="AE916" s="11"/>
      <c r="AH916" s="28"/>
      <c r="AI916" s="28"/>
      <c r="AJ916" s="12"/>
      <c r="AK916" s="29"/>
      <c r="AL916" s="12"/>
    </row>
    <row r="917" spans="9:38" x14ac:dyDescent="0.25">
      <c r="I917" s="15"/>
      <c r="K917" s="16"/>
      <c r="L917" s="16"/>
      <c r="M917" s="16"/>
      <c r="N917" s="16"/>
      <c r="O917" s="16"/>
      <c r="S917" s="11"/>
      <c r="T917" s="11"/>
      <c r="U917" s="11"/>
      <c r="Y917" s="27"/>
      <c r="Z917" s="11"/>
      <c r="AE917" s="11"/>
      <c r="AH917" s="28"/>
      <c r="AI917" s="28"/>
      <c r="AJ917" s="12"/>
      <c r="AK917" s="29"/>
      <c r="AL917" s="12"/>
    </row>
    <row r="918" spans="9:38" x14ac:dyDescent="0.25">
      <c r="I918" s="15"/>
      <c r="K918" s="16"/>
      <c r="L918" s="16"/>
      <c r="M918" s="16"/>
      <c r="N918" s="16"/>
      <c r="O918" s="16"/>
      <c r="S918" s="11"/>
      <c r="T918" s="11"/>
      <c r="U918" s="11"/>
      <c r="Y918" s="27"/>
      <c r="Z918" s="11"/>
      <c r="AE918" s="11"/>
      <c r="AH918" s="28"/>
      <c r="AI918" s="28"/>
      <c r="AJ918" s="12"/>
      <c r="AK918" s="29"/>
      <c r="AL918" s="12"/>
    </row>
    <row r="919" spans="9:38" x14ac:dyDescent="0.25">
      <c r="I919" s="15"/>
      <c r="K919" s="16"/>
      <c r="L919" s="16"/>
      <c r="M919" s="16"/>
      <c r="N919" s="16"/>
      <c r="O919" s="16"/>
      <c r="S919" s="11"/>
      <c r="T919" s="11"/>
      <c r="U919" s="11"/>
      <c r="Y919" s="27"/>
      <c r="Z919" s="11"/>
      <c r="AE919" s="11"/>
      <c r="AH919" s="28"/>
      <c r="AI919" s="28"/>
      <c r="AJ919" s="12"/>
      <c r="AK919" s="29"/>
      <c r="AL919" s="12"/>
    </row>
    <row r="920" spans="9:38" x14ac:dyDescent="0.25">
      <c r="I920" s="15"/>
      <c r="K920" s="16"/>
      <c r="L920" s="16"/>
      <c r="M920" s="16"/>
      <c r="N920" s="16"/>
      <c r="O920" s="16"/>
      <c r="S920" s="11"/>
      <c r="T920" s="11"/>
      <c r="U920" s="11"/>
      <c r="Y920" s="27"/>
      <c r="Z920" s="11"/>
      <c r="AE920" s="11"/>
      <c r="AH920" s="28"/>
      <c r="AI920" s="28"/>
      <c r="AJ920" s="12"/>
      <c r="AK920" s="29"/>
      <c r="AL920" s="12"/>
    </row>
    <row r="921" spans="9:38" x14ac:dyDescent="0.25">
      <c r="I921" s="15"/>
      <c r="K921" s="16"/>
      <c r="L921" s="16"/>
      <c r="M921" s="16"/>
      <c r="N921" s="16"/>
      <c r="O921" s="16"/>
      <c r="S921" s="11"/>
      <c r="T921" s="11"/>
      <c r="U921" s="11"/>
      <c r="Y921" s="27"/>
      <c r="Z921" s="11"/>
      <c r="AE921" s="11"/>
      <c r="AH921" s="28"/>
      <c r="AI921" s="28"/>
      <c r="AJ921" s="12"/>
      <c r="AK921" s="29"/>
      <c r="AL921" s="12"/>
    </row>
    <row r="922" spans="9:38" x14ac:dyDescent="0.25">
      <c r="I922" s="15"/>
      <c r="K922" s="16"/>
      <c r="L922" s="16"/>
      <c r="M922" s="16"/>
      <c r="N922" s="16"/>
      <c r="O922" s="16"/>
      <c r="S922" s="11"/>
      <c r="T922" s="11"/>
      <c r="U922" s="11"/>
      <c r="Y922" s="27"/>
      <c r="Z922" s="11"/>
      <c r="AE922" s="11"/>
      <c r="AH922" s="28"/>
      <c r="AI922" s="28"/>
      <c r="AJ922" s="12"/>
      <c r="AK922" s="29"/>
      <c r="AL922" s="12"/>
    </row>
    <row r="923" spans="9:38" x14ac:dyDescent="0.25">
      <c r="I923" s="15"/>
      <c r="K923" s="16"/>
      <c r="L923" s="16"/>
      <c r="M923" s="16"/>
      <c r="N923" s="16"/>
      <c r="O923" s="16"/>
      <c r="S923" s="11"/>
      <c r="T923" s="11"/>
      <c r="U923" s="11"/>
      <c r="Y923" s="27"/>
      <c r="Z923" s="11"/>
      <c r="AE923" s="11"/>
      <c r="AH923" s="28"/>
      <c r="AI923" s="28"/>
      <c r="AJ923" s="12"/>
      <c r="AK923" s="29"/>
      <c r="AL923" s="12"/>
    </row>
    <row r="924" spans="9:38" x14ac:dyDescent="0.25">
      <c r="I924" s="15"/>
      <c r="K924" s="16"/>
      <c r="L924" s="16"/>
      <c r="M924" s="16"/>
      <c r="N924" s="16"/>
      <c r="O924" s="16"/>
      <c r="S924" s="11"/>
      <c r="T924" s="11"/>
      <c r="U924" s="11"/>
      <c r="Y924" s="27"/>
      <c r="Z924" s="11"/>
      <c r="AE924" s="11"/>
      <c r="AH924" s="28"/>
      <c r="AI924" s="28"/>
      <c r="AJ924" s="12"/>
      <c r="AK924" s="29"/>
      <c r="AL924" s="12"/>
    </row>
    <row r="925" spans="9:38" x14ac:dyDescent="0.25">
      <c r="I925" s="15"/>
      <c r="K925" s="16"/>
      <c r="L925" s="16"/>
      <c r="M925" s="16"/>
      <c r="N925" s="16"/>
      <c r="O925" s="16"/>
      <c r="S925" s="11"/>
      <c r="T925" s="11"/>
      <c r="U925" s="11"/>
      <c r="Y925" s="27"/>
      <c r="Z925" s="11"/>
      <c r="AE925" s="11"/>
      <c r="AH925" s="28"/>
      <c r="AI925" s="28"/>
      <c r="AJ925" s="12"/>
      <c r="AK925" s="29"/>
      <c r="AL925" s="12"/>
    </row>
    <row r="926" spans="9:38" x14ac:dyDescent="0.25">
      <c r="I926" s="15"/>
      <c r="K926" s="16"/>
      <c r="L926" s="16"/>
      <c r="M926" s="16"/>
      <c r="N926" s="16"/>
      <c r="O926" s="16"/>
      <c r="S926" s="11"/>
      <c r="T926" s="11"/>
      <c r="U926" s="11"/>
      <c r="Y926" s="27"/>
      <c r="Z926" s="11"/>
      <c r="AE926" s="11"/>
      <c r="AH926" s="28"/>
      <c r="AI926" s="28"/>
      <c r="AJ926" s="12"/>
      <c r="AK926" s="29"/>
      <c r="AL926" s="12"/>
    </row>
    <row r="927" spans="9:38" x14ac:dyDescent="0.25">
      <c r="I927" s="15"/>
      <c r="K927" s="16"/>
      <c r="L927" s="16"/>
      <c r="M927" s="16"/>
      <c r="N927" s="16"/>
      <c r="O927" s="16"/>
      <c r="S927" s="11"/>
      <c r="T927" s="11"/>
      <c r="U927" s="11"/>
      <c r="Y927" s="27"/>
      <c r="Z927" s="11"/>
      <c r="AE927" s="11"/>
      <c r="AH927" s="28"/>
      <c r="AI927" s="28"/>
      <c r="AJ927" s="12"/>
      <c r="AK927" s="29"/>
      <c r="AL927" s="12"/>
    </row>
    <row r="928" spans="9:38" x14ac:dyDescent="0.25">
      <c r="I928" s="15"/>
      <c r="K928" s="16"/>
      <c r="L928" s="16"/>
      <c r="M928" s="16"/>
      <c r="N928" s="16"/>
      <c r="O928" s="16"/>
      <c r="S928" s="11"/>
      <c r="T928" s="11"/>
      <c r="U928" s="11"/>
      <c r="Y928" s="27"/>
      <c r="Z928" s="11"/>
      <c r="AE928" s="11"/>
      <c r="AH928" s="28"/>
      <c r="AI928" s="28"/>
      <c r="AJ928" s="12"/>
      <c r="AK928" s="29"/>
      <c r="AL928" s="12"/>
    </row>
    <row r="929" spans="9:38" x14ac:dyDescent="0.25">
      <c r="I929" s="15"/>
      <c r="K929" s="16"/>
      <c r="L929" s="16"/>
      <c r="M929" s="16"/>
      <c r="N929" s="16"/>
      <c r="O929" s="16"/>
      <c r="S929" s="11"/>
      <c r="T929" s="11"/>
      <c r="U929" s="11"/>
      <c r="Y929" s="27"/>
      <c r="Z929" s="11"/>
      <c r="AE929" s="11"/>
      <c r="AH929" s="28"/>
      <c r="AI929" s="28"/>
      <c r="AJ929" s="12"/>
      <c r="AK929" s="29"/>
      <c r="AL929" s="12"/>
    </row>
    <row r="930" spans="9:38" x14ac:dyDescent="0.25">
      <c r="I930" s="15"/>
      <c r="K930" s="16"/>
      <c r="L930" s="16"/>
      <c r="M930" s="16"/>
      <c r="N930" s="16"/>
      <c r="O930" s="16"/>
      <c r="S930" s="11"/>
      <c r="T930" s="11"/>
      <c r="U930" s="11"/>
      <c r="Y930" s="27"/>
      <c r="Z930" s="11"/>
      <c r="AE930" s="11"/>
      <c r="AH930" s="28"/>
      <c r="AI930" s="28"/>
      <c r="AJ930" s="12"/>
      <c r="AK930" s="29"/>
      <c r="AL930" s="12"/>
    </row>
    <row r="931" spans="9:38" x14ac:dyDescent="0.25">
      <c r="I931" s="15"/>
      <c r="K931" s="16"/>
      <c r="L931" s="16"/>
      <c r="M931" s="16"/>
      <c r="N931" s="16"/>
      <c r="O931" s="16"/>
      <c r="S931" s="11"/>
      <c r="T931" s="11"/>
      <c r="U931" s="11"/>
      <c r="Y931" s="27"/>
      <c r="Z931" s="11"/>
      <c r="AE931" s="11"/>
      <c r="AH931" s="28"/>
      <c r="AI931" s="28"/>
      <c r="AJ931" s="12"/>
      <c r="AK931" s="29"/>
      <c r="AL931" s="12"/>
    </row>
    <row r="932" spans="9:38" x14ac:dyDescent="0.25">
      <c r="I932" s="15"/>
      <c r="K932" s="16"/>
      <c r="L932" s="16"/>
      <c r="M932" s="16"/>
      <c r="N932" s="16"/>
      <c r="O932" s="16"/>
      <c r="S932" s="11"/>
      <c r="T932" s="11"/>
      <c r="U932" s="11"/>
      <c r="Y932" s="27"/>
      <c r="Z932" s="11"/>
      <c r="AE932" s="11"/>
      <c r="AH932" s="28"/>
      <c r="AI932" s="28"/>
      <c r="AJ932" s="12"/>
      <c r="AK932" s="29"/>
      <c r="AL932" s="12"/>
    </row>
    <row r="933" spans="9:38" x14ac:dyDescent="0.25">
      <c r="I933" s="15"/>
      <c r="K933" s="16"/>
      <c r="L933" s="16"/>
      <c r="M933" s="16"/>
      <c r="N933" s="16"/>
      <c r="O933" s="16"/>
      <c r="S933" s="11"/>
      <c r="T933" s="11"/>
      <c r="U933" s="11"/>
      <c r="Y933" s="27"/>
      <c r="Z933" s="11"/>
      <c r="AE933" s="11"/>
      <c r="AH933" s="28"/>
      <c r="AI933" s="28"/>
      <c r="AJ933" s="12"/>
      <c r="AK933" s="29"/>
      <c r="AL933" s="12"/>
    </row>
    <row r="934" spans="9:38" x14ac:dyDescent="0.25">
      <c r="I934" s="15"/>
      <c r="K934" s="16"/>
      <c r="L934" s="16"/>
      <c r="M934" s="16"/>
      <c r="N934" s="16"/>
      <c r="O934" s="16"/>
      <c r="S934" s="11"/>
      <c r="T934" s="11"/>
      <c r="U934" s="11"/>
      <c r="Y934" s="27"/>
      <c r="Z934" s="11"/>
      <c r="AE934" s="11"/>
      <c r="AH934" s="28"/>
      <c r="AI934" s="28"/>
      <c r="AJ934" s="12"/>
      <c r="AK934" s="29"/>
      <c r="AL934" s="12"/>
    </row>
    <row r="935" spans="9:38" x14ac:dyDescent="0.25">
      <c r="I935" s="15"/>
      <c r="K935" s="16"/>
      <c r="L935" s="16"/>
      <c r="M935" s="16"/>
      <c r="N935" s="16"/>
      <c r="O935" s="16"/>
      <c r="S935" s="11"/>
      <c r="T935" s="11"/>
      <c r="U935" s="11"/>
      <c r="Y935" s="27"/>
      <c r="Z935" s="11"/>
      <c r="AE935" s="11"/>
      <c r="AH935" s="28"/>
      <c r="AI935" s="28"/>
      <c r="AJ935" s="12"/>
      <c r="AK935" s="29"/>
      <c r="AL935" s="12"/>
    </row>
    <row r="936" spans="9:38" x14ac:dyDescent="0.25">
      <c r="I936" s="15"/>
      <c r="K936" s="16"/>
      <c r="L936" s="16"/>
      <c r="M936" s="16"/>
      <c r="N936" s="16"/>
      <c r="O936" s="16"/>
      <c r="S936" s="11"/>
      <c r="T936" s="11"/>
      <c r="U936" s="11"/>
      <c r="Y936" s="27"/>
      <c r="Z936" s="11"/>
      <c r="AE936" s="11"/>
      <c r="AH936" s="28"/>
      <c r="AI936" s="28"/>
      <c r="AJ936" s="12"/>
      <c r="AK936" s="29"/>
      <c r="AL936" s="12"/>
    </row>
    <row r="937" spans="9:38" x14ac:dyDescent="0.25">
      <c r="I937" s="15"/>
      <c r="K937" s="16"/>
      <c r="L937" s="16"/>
      <c r="M937" s="16"/>
      <c r="N937" s="16"/>
      <c r="O937" s="16"/>
      <c r="S937" s="11"/>
      <c r="T937" s="11"/>
      <c r="U937" s="11"/>
      <c r="Y937" s="27"/>
      <c r="Z937" s="11"/>
      <c r="AE937" s="11"/>
      <c r="AH937" s="28"/>
      <c r="AI937" s="28"/>
      <c r="AJ937" s="12"/>
      <c r="AK937" s="29"/>
      <c r="AL937" s="12"/>
    </row>
    <row r="938" spans="9:38" x14ac:dyDescent="0.25">
      <c r="I938" s="15"/>
      <c r="K938" s="16"/>
      <c r="L938" s="16"/>
      <c r="M938" s="16"/>
      <c r="N938" s="16"/>
      <c r="O938" s="16"/>
      <c r="S938" s="11"/>
      <c r="T938" s="11"/>
      <c r="U938" s="11"/>
      <c r="Y938" s="27"/>
      <c r="Z938" s="11"/>
      <c r="AE938" s="11"/>
      <c r="AH938" s="28"/>
      <c r="AI938" s="28"/>
      <c r="AJ938" s="12"/>
      <c r="AK938" s="29"/>
      <c r="AL938" s="12"/>
    </row>
    <row r="939" spans="9:38" x14ac:dyDescent="0.25">
      <c r="I939" s="15"/>
      <c r="K939" s="16"/>
      <c r="L939" s="16"/>
      <c r="M939" s="16"/>
      <c r="N939" s="16"/>
      <c r="O939" s="16"/>
      <c r="S939" s="11"/>
      <c r="T939" s="11"/>
      <c r="U939" s="11"/>
      <c r="Y939" s="27"/>
      <c r="Z939" s="11"/>
      <c r="AE939" s="11"/>
      <c r="AH939" s="28"/>
      <c r="AI939" s="28"/>
      <c r="AJ939" s="12"/>
      <c r="AK939" s="29"/>
      <c r="AL939" s="12"/>
    </row>
    <row r="940" spans="9:38" x14ac:dyDescent="0.25">
      <c r="I940" s="15"/>
      <c r="K940" s="16"/>
      <c r="L940" s="16"/>
      <c r="M940" s="16"/>
      <c r="N940" s="16"/>
      <c r="O940" s="16"/>
      <c r="S940" s="11"/>
      <c r="T940" s="11"/>
      <c r="U940" s="11"/>
      <c r="Y940" s="27"/>
      <c r="Z940" s="11"/>
      <c r="AE940" s="11"/>
      <c r="AH940" s="28"/>
      <c r="AI940" s="28"/>
      <c r="AJ940" s="12"/>
      <c r="AK940" s="29"/>
      <c r="AL940" s="12"/>
    </row>
    <row r="941" spans="9:38" x14ac:dyDescent="0.25">
      <c r="I941" s="15"/>
      <c r="K941" s="16"/>
      <c r="L941" s="16"/>
      <c r="M941" s="16"/>
      <c r="N941" s="16"/>
      <c r="O941" s="16"/>
      <c r="S941" s="11"/>
      <c r="T941" s="11"/>
      <c r="U941" s="11"/>
      <c r="Y941" s="27"/>
      <c r="Z941" s="11"/>
      <c r="AE941" s="11"/>
      <c r="AH941" s="28"/>
      <c r="AI941" s="28"/>
      <c r="AJ941" s="12"/>
      <c r="AK941" s="29"/>
      <c r="AL941" s="12"/>
    </row>
    <row r="942" spans="9:38" x14ac:dyDescent="0.25">
      <c r="I942" s="15"/>
      <c r="K942" s="16"/>
      <c r="L942" s="16"/>
      <c r="M942" s="16"/>
      <c r="N942" s="16"/>
      <c r="O942" s="16"/>
      <c r="S942" s="11"/>
      <c r="T942" s="11"/>
      <c r="U942" s="11"/>
      <c r="Y942" s="27"/>
      <c r="Z942" s="11"/>
      <c r="AE942" s="11"/>
      <c r="AH942" s="28"/>
      <c r="AI942" s="28"/>
      <c r="AJ942" s="12"/>
      <c r="AK942" s="29"/>
      <c r="AL942" s="12"/>
    </row>
    <row r="943" spans="9:38" x14ac:dyDescent="0.25">
      <c r="I943" s="15"/>
      <c r="K943" s="16"/>
      <c r="L943" s="16"/>
      <c r="M943" s="16"/>
      <c r="N943" s="16"/>
      <c r="O943" s="16"/>
      <c r="S943" s="11"/>
      <c r="T943" s="11"/>
      <c r="U943" s="11"/>
      <c r="Y943" s="27"/>
      <c r="Z943" s="11"/>
      <c r="AE943" s="11"/>
      <c r="AH943" s="28"/>
      <c r="AI943" s="28"/>
      <c r="AJ943" s="12"/>
      <c r="AK943" s="29"/>
      <c r="AL943" s="12"/>
    </row>
    <row r="944" spans="9:38" x14ac:dyDescent="0.25">
      <c r="I944" s="15"/>
      <c r="K944" s="16"/>
      <c r="L944" s="16"/>
      <c r="M944" s="16"/>
      <c r="N944" s="16"/>
      <c r="O944" s="16"/>
      <c r="S944" s="11"/>
      <c r="T944" s="11"/>
      <c r="U944" s="11"/>
      <c r="Y944" s="27"/>
      <c r="Z944" s="11"/>
      <c r="AE944" s="11"/>
      <c r="AH944" s="28"/>
      <c r="AI944" s="28"/>
      <c r="AJ944" s="12"/>
      <c r="AK944" s="29"/>
      <c r="AL944" s="12"/>
    </row>
    <row r="945" spans="9:38" x14ac:dyDescent="0.25">
      <c r="I945" s="15"/>
      <c r="K945" s="16"/>
      <c r="L945" s="16"/>
      <c r="M945" s="16"/>
      <c r="N945" s="16"/>
      <c r="O945" s="16"/>
      <c r="S945" s="11"/>
      <c r="T945" s="11"/>
      <c r="U945" s="11"/>
      <c r="Y945" s="27"/>
      <c r="Z945" s="11"/>
      <c r="AE945" s="11"/>
      <c r="AH945" s="28"/>
      <c r="AI945" s="28"/>
      <c r="AJ945" s="12"/>
      <c r="AK945" s="29"/>
      <c r="AL945" s="12"/>
    </row>
    <row r="946" spans="9:38" x14ac:dyDescent="0.25">
      <c r="I946" s="15"/>
      <c r="K946" s="16"/>
      <c r="L946" s="16"/>
      <c r="M946" s="16"/>
      <c r="N946" s="16"/>
      <c r="O946" s="16"/>
      <c r="S946" s="11"/>
      <c r="T946" s="11"/>
      <c r="U946" s="11"/>
      <c r="Y946" s="27"/>
      <c r="Z946" s="11"/>
      <c r="AE946" s="11"/>
      <c r="AH946" s="28"/>
      <c r="AI946" s="28"/>
      <c r="AJ946" s="12"/>
      <c r="AK946" s="29"/>
      <c r="AL946" s="12"/>
    </row>
    <row r="947" spans="9:38" x14ac:dyDescent="0.25">
      <c r="I947" s="15"/>
      <c r="K947" s="16"/>
      <c r="L947" s="16"/>
      <c r="M947" s="16"/>
      <c r="N947" s="16"/>
      <c r="O947" s="16"/>
      <c r="S947" s="11"/>
      <c r="T947" s="11"/>
      <c r="U947" s="11"/>
      <c r="Y947" s="27"/>
      <c r="Z947" s="11"/>
      <c r="AE947" s="11"/>
      <c r="AH947" s="28"/>
      <c r="AI947" s="28"/>
      <c r="AJ947" s="12"/>
      <c r="AK947" s="29"/>
      <c r="AL947" s="12"/>
    </row>
    <row r="948" spans="9:38" x14ac:dyDescent="0.25">
      <c r="I948" s="15"/>
      <c r="K948" s="16"/>
      <c r="L948" s="16"/>
      <c r="M948" s="16"/>
      <c r="N948" s="16"/>
      <c r="O948" s="16"/>
      <c r="S948" s="11"/>
      <c r="T948" s="11"/>
      <c r="U948" s="11"/>
      <c r="Y948" s="27"/>
      <c r="Z948" s="11"/>
      <c r="AE948" s="11"/>
      <c r="AH948" s="28"/>
      <c r="AI948" s="28"/>
      <c r="AJ948" s="12"/>
      <c r="AK948" s="29"/>
      <c r="AL948" s="12"/>
    </row>
    <row r="949" spans="9:38" x14ac:dyDescent="0.25">
      <c r="I949" s="15"/>
      <c r="K949" s="16"/>
      <c r="L949" s="16"/>
      <c r="M949" s="16"/>
      <c r="N949" s="16"/>
      <c r="O949" s="16"/>
      <c r="S949" s="11"/>
      <c r="T949" s="11"/>
      <c r="U949" s="11"/>
      <c r="Y949" s="27"/>
      <c r="Z949" s="11"/>
      <c r="AE949" s="11"/>
      <c r="AH949" s="28"/>
      <c r="AI949" s="28"/>
      <c r="AJ949" s="12"/>
      <c r="AK949" s="29"/>
      <c r="AL949" s="12"/>
    </row>
    <row r="950" spans="9:38" x14ac:dyDescent="0.25">
      <c r="I950" s="15"/>
      <c r="K950" s="16"/>
      <c r="L950" s="16"/>
      <c r="M950" s="16"/>
      <c r="N950" s="16"/>
      <c r="O950" s="16"/>
      <c r="S950" s="11"/>
      <c r="T950" s="11"/>
      <c r="U950" s="11"/>
      <c r="Y950" s="27"/>
      <c r="Z950" s="11"/>
      <c r="AE950" s="11"/>
      <c r="AH950" s="28"/>
      <c r="AI950" s="28"/>
      <c r="AJ950" s="12"/>
      <c r="AK950" s="29"/>
      <c r="AL950" s="12"/>
    </row>
    <row r="951" spans="9:38" x14ac:dyDescent="0.25">
      <c r="I951" s="15"/>
      <c r="K951" s="16"/>
      <c r="L951" s="16"/>
      <c r="M951" s="16"/>
      <c r="N951" s="16"/>
      <c r="O951" s="16"/>
      <c r="S951" s="11"/>
      <c r="T951" s="11"/>
      <c r="U951" s="11"/>
      <c r="Y951" s="27"/>
      <c r="Z951" s="11"/>
      <c r="AE951" s="11"/>
      <c r="AH951" s="28"/>
      <c r="AI951" s="28"/>
      <c r="AJ951" s="12"/>
      <c r="AK951" s="29"/>
      <c r="AL951" s="12"/>
    </row>
    <row r="952" spans="9:38" x14ac:dyDescent="0.25">
      <c r="I952" s="15"/>
      <c r="K952" s="16"/>
      <c r="L952" s="16"/>
      <c r="M952" s="16"/>
      <c r="N952" s="16"/>
      <c r="O952" s="16"/>
      <c r="S952" s="11"/>
      <c r="T952" s="11"/>
      <c r="U952" s="11"/>
      <c r="Y952" s="27"/>
      <c r="Z952" s="11"/>
      <c r="AE952" s="11"/>
      <c r="AH952" s="28"/>
      <c r="AI952" s="28"/>
      <c r="AJ952" s="12"/>
      <c r="AK952" s="29"/>
      <c r="AL952" s="12"/>
    </row>
    <row r="953" spans="9:38" x14ac:dyDescent="0.25">
      <c r="I953" s="15"/>
      <c r="K953" s="16"/>
      <c r="L953" s="16"/>
      <c r="M953" s="16"/>
      <c r="N953" s="16"/>
      <c r="O953" s="16"/>
      <c r="S953" s="11"/>
      <c r="T953" s="11"/>
      <c r="U953" s="11"/>
      <c r="Y953" s="27"/>
      <c r="Z953" s="11"/>
      <c r="AE953" s="11"/>
      <c r="AH953" s="28"/>
      <c r="AI953" s="28"/>
      <c r="AJ953" s="12"/>
      <c r="AK953" s="29"/>
      <c r="AL953" s="12"/>
    </row>
    <row r="954" spans="9:38" x14ac:dyDescent="0.25">
      <c r="I954" s="15"/>
      <c r="K954" s="16"/>
      <c r="L954" s="16"/>
      <c r="M954" s="16"/>
      <c r="N954" s="16"/>
      <c r="O954" s="16"/>
      <c r="S954" s="11"/>
      <c r="T954" s="11"/>
      <c r="U954" s="11"/>
      <c r="Y954" s="27"/>
      <c r="Z954" s="11"/>
      <c r="AE954" s="11"/>
      <c r="AH954" s="28"/>
      <c r="AI954" s="28"/>
      <c r="AJ954" s="12"/>
      <c r="AK954" s="29"/>
      <c r="AL954" s="12"/>
    </row>
    <row r="955" spans="9:38" x14ac:dyDescent="0.25">
      <c r="I955" s="15"/>
      <c r="K955" s="16"/>
      <c r="L955" s="16"/>
      <c r="M955" s="16"/>
      <c r="N955" s="16"/>
      <c r="O955" s="16"/>
      <c r="S955" s="11"/>
      <c r="T955" s="11"/>
      <c r="U955" s="11"/>
      <c r="Y955" s="27"/>
      <c r="Z955" s="11"/>
      <c r="AE955" s="11"/>
      <c r="AH955" s="28"/>
      <c r="AI955" s="28"/>
      <c r="AJ955" s="12"/>
      <c r="AK955" s="29"/>
      <c r="AL955" s="12"/>
    </row>
    <row r="956" spans="9:38" x14ac:dyDescent="0.25">
      <c r="I956" s="15"/>
      <c r="K956" s="16"/>
      <c r="L956" s="16"/>
      <c r="M956" s="16"/>
      <c r="N956" s="16"/>
      <c r="O956" s="16"/>
      <c r="S956" s="11"/>
      <c r="T956" s="11"/>
      <c r="U956" s="11"/>
      <c r="Y956" s="27"/>
      <c r="Z956" s="11"/>
      <c r="AE956" s="11"/>
      <c r="AH956" s="28"/>
      <c r="AI956" s="28"/>
      <c r="AJ956" s="12"/>
      <c r="AK956" s="29"/>
      <c r="AL956" s="12"/>
    </row>
    <row r="957" spans="9:38" x14ac:dyDescent="0.25">
      <c r="I957" s="15"/>
      <c r="K957" s="16"/>
      <c r="L957" s="16"/>
      <c r="M957" s="16"/>
      <c r="N957" s="16"/>
      <c r="O957" s="16"/>
      <c r="S957" s="11"/>
      <c r="T957" s="11"/>
      <c r="U957" s="11"/>
      <c r="Y957" s="27"/>
      <c r="Z957" s="11"/>
      <c r="AE957" s="11"/>
      <c r="AH957" s="28"/>
      <c r="AI957" s="28"/>
      <c r="AJ957" s="12"/>
      <c r="AK957" s="29"/>
      <c r="AL957" s="12"/>
    </row>
    <row r="958" spans="9:38" x14ac:dyDescent="0.25">
      <c r="I958" s="15"/>
      <c r="K958" s="16"/>
      <c r="L958" s="16"/>
      <c r="M958" s="16"/>
      <c r="N958" s="16"/>
      <c r="O958" s="16"/>
      <c r="S958" s="11"/>
      <c r="T958" s="11"/>
      <c r="U958" s="11"/>
      <c r="Y958" s="27"/>
      <c r="Z958" s="11"/>
      <c r="AE958" s="11"/>
      <c r="AH958" s="28"/>
      <c r="AI958" s="28"/>
      <c r="AJ958" s="12"/>
      <c r="AK958" s="29"/>
      <c r="AL958" s="12"/>
    </row>
    <row r="959" spans="9:38" x14ac:dyDescent="0.25">
      <c r="I959" s="15"/>
      <c r="K959" s="16"/>
      <c r="L959" s="16"/>
      <c r="M959" s="16"/>
      <c r="N959" s="16"/>
      <c r="O959" s="16"/>
      <c r="S959" s="11"/>
      <c r="T959" s="11"/>
      <c r="U959" s="11"/>
      <c r="Y959" s="27"/>
      <c r="Z959" s="11"/>
      <c r="AE959" s="11"/>
      <c r="AH959" s="28"/>
      <c r="AI959" s="28"/>
      <c r="AJ959" s="12"/>
      <c r="AK959" s="29"/>
      <c r="AL959" s="12"/>
    </row>
    <row r="960" spans="9:38" x14ac:dyDescent="0.25">
      <c r="I960" s="15"/>
      <c r="K960" s="16"/>
      <c r="L960" s="16"/>
      <c r="M960" s="16"/>
      <c r="N960" s="16"/>
      <c r="O960" s="16"/>
      <c r="S960" s="11"/>
      <c r="T960" s="11"/>
      <c r="U960" s="11"/>
      <c r="Y960" s="27"/>
      <c r="Z960" s="11"/>
      <c r="AE960" s="11"/>
      <c r="AH960" s="28"/>
      <c r="AI960" s="28"/>
      <c r="AJ960" s="12"/>
      <c r="AK960" s="29"/>
      <c r="AL960" s="12"/>
    </row>
    <row r="961" spans="9:38" x14ac:dyDescent="0.25">
      <c r="I961" s="15"/>
      <c r="K961" s="16"/>
      <c r="L961" s="16"/>
      <c r="M961" s="16"/>
      <c r="N961" s="16"/>
      <c r="O961" s="16"/>
      <c r="S961" s="11"/>
      <c r="T961" s="11"/>
      <c r="U961" s="11"/>
      <c r="Y961" s="27"/>
      <c r="Z961" s="11"/>
      <c r="AE961" s="11"/>
      <c r="AH961" s="28"/>
      <c r="AI961" s="28"/>
      <c r="AJ961" s="12"/>
      <c r="AK961" s="29"/>
      <c r="AL961" s="12"/>
    </row>
    <row r="962" spans="9:38" x14ac:dyDescent="0.25">
      <c r="I962" s="15"/>
      <c r="K962" s="16"/>
      <c r="L962" s="16"/>
      <c r="M962" s="16"/>
      <c r="N962" s="16"/>
      <c r="O962" s="16"/>
      <c r="S962" s="11"/>
      <c r="T962" s="11"/>
      <c r="U962" s="11"/>
      <c r="Y962" s="27"/>
      <c r="Z962" s="11"/>
      <c r="AE962" s="11"/>
      <c r="AH962" s="28"/>
      <c r="AI962" s="28"/>
      <c r="AJ962" s="12"/>
      <c r="AK962" s="29"/>
      <c r="AL962" s="12"/>
    </row>
    <row r="963" spans="9:38" x14ac:dyDescent="0.25">
      <c r="I963" s="15"/>
      <c r="K963" s="16"/>
      <c r="L963" s="16"/>
      <c r="M963" s="16"/>
      <c r="N963" s="16"/>
      <c r="O963" s="16"/>
      <c r="S963" s="11"/>
      <c r="T963" s="11"/>
      <c r="U963" s="11"/>
      <c r="Y963" s="27"/>
      <c r="Z963" s="11"/>
      <c r="AE963" s="11"/>
      <c r="AH963" s="28"/>
      <c r="AI963" s="28"/>
      <c r="AJ963" s="12"/>
      <c r="AK963" s="29"/>
      <c r="AL963" s="12"/>
    </row>
    <row r="964" spans="9:38" x14ac:dyDescent="0.25">
      <c r="I964" s="15"/>
      <c r="K964" s="16"/>
      <c r="L964" s="16"/>
      <c r="M964" s="16"/>
      <c r="N964" s="16"/>
      <c r="O964" s="16"/>
      <c r="S964" s="11"/>
      <c r="T964" s="11"/>
      <c r="U964" s="11"/>
      <c r="Y964" s="27"/>
      <c r="Z964" s="11"/>
      <c r="AE964" s="11"/>
      <c r="AH964" s="28"/>
      <c r="AI964" s="28"/>
      <c r="AJ964" s="12"/>
      <c r="AK964" s="29"/>
      <c r="AL964" s="12"/>
    </row>
    <row r="965" spans="9:38" x14ac:dyDescent="0.25">
      <c r="I965" s="15"/>
      <c r="K965" s="16"/>
      <c r="L965" s="16"/>
      <c r="M965" s="16"/>
      <c r="N965" s="16"/>
      <c r="O965" s="16"/>
      <c r="S965" s="11"/>
      <c r="T965" s="11"/>
      <c r="U965" s="11"/>
      <c r="Y965" s="27"/>
      <c r="Z965" s="11"/>
      <c r="AE965" s="11"/>
      <c r="AH965" s="28"/>
      <c r="AI965" s="28"/>
      <c r="AJ965" s="12"/>
      <c r="AK965" s="29"/>
      <c r="AL965" s="12"/>
    </row>
    <row r="966" spans="9:38" x14ac:dyDescent="0.25">
      <c r="I966" s="15"/>
      <c r="K966" s="16"/>
      <c r="L966" s="16"/>
      <c r="M966" s="16"/>
      <c r="N966" s="16"/>
      <c r="O966" s="16"/>
      <c r="S966" s="11"/>
      <c r="T966" s="11"/>
      <c r="U966" s="11"/>
      <c r="Y966" s="27"/>
      <c r="Z966" s="11"/>
      <c r="AE966" s="11"/>
      <c r="AH966" s="28"/>
      <c r="AI966" s="28"/>
      <c r="AJ966" s="12"/>
      <c r="AK966" s="29"/>
      <c r="AL966" s="12"/>
    </row>
    <row r="967" spans="9:38" x14ac:dyDescent="0.25">
      <c r="I967" s="15"/>
      <c r="K967" s="16"/>
      <c r="L967" s="16"/>
      <c r="M967" s="16"/>
      <c r="N967" s="16"/>
      <c r="O967" s="16"/>
      <c r="S967" s="11"/>
      <c r="T967" s="11"/>
      <c r="U967" s="11"/>
      <c r="Y967" s="27"/>
      <c r="Z967" s="11"/>
      <c r="AE967" s="11"/>
      <c r="AH967" s="28"/>
      <c r="AI967" s="28"/>
      <c r="AJ967" s="12"/>
      <c r="AK967" s="29"/>
      <c r="AL967" s="12"/>
    </row>
    <row r="968" spans="9:38" x14ac:dyDescent="0.25">
      <c r="I968" s="15"/>
      <c r="K968" s="16"/>
      <c r="L968" s="16"/>
      <c r="M968" s="16"/>
      <c r="N968" s="16"/>
      <c r="O968" s="16"/>
      <c r="S968" s="11"/>
      <c r="T968" s="11"/>
      <c r="U968" s="11"/>
      <c r="Y968" s="27"/>
      <c r="Z968" s="11"/>
      <c r="AE968" s="11"/>
      <c r="AH968" s="28"/>
      <c r="AI968" s="28"/>
      <c r="AJ968" s="12"/>
      <c r="AK968" s="29"/>
      <c r="AL968" s="12"/>
    </row>
    <row r="969" spans="9:38" x14ac:dyDescent="0.25">
      <c r="I969" s="15"/>
      <c r="K969" s="16"/>
      <c r="L969" s="16"/>
      <c r="M969" s="16"/>
      <c r="N969" s="16"/>
      <c r="O969" s="16"/>
      <c r="S969" s="11"/>
      <c r="T969" s="11"/>
      <c r="U969" s="11"/>
      <c r="Y969" s="27"/>
      <c r="Z969" s="11"/>
      <c r="AE969" s="11"/>
      <c r="AH969" s="28"/>
      <c r="AI969" s="28"/>
      <c r="AJ969" s="12"/>
      <c r="AK969" s="29"/>
      <c r="AL969" s="12"/>
    </row>
    <row r="970" spans="9:38" x14ac:dyDescent="0.25">
      <c r="I970" s="15"/>
      <c r="K970" s="16"/>
      <c r="L970" s="16"/>
      <c r="M970" s="16"/>
      <c r="N970" s="16"/>
      <c r="O970" s="16"/>
      <c r="S970" s="11"/>
      <c r="T970" s="11"/>
      <c r="U970" s="11"/>
      <c r="Y970" s="27"/>
      <c r="Z970" s="11"/>
      <c r="AE970" s="11"/>
      <c r="AH970" s="28"/>
      <c r="AI970" s="28"/>
      <c r="AJ970" s="12"/>
      <c r="AK970" s="29"/>
      <c r="AL970" s="12"/>
    </row>
    <row r="971" spans="9:38" x14ac:dyDescent="0.25">
      <c r="I971" s="15"/>
      <c r="K971" s="16"/>
      <c r="L971" s="16"/>
      <c r="M971" s="16"/>
      <c r="N971" s="16"/>
      <c r="O971" s="16"/>
      <c r="S971" s="11"/>
      <c r="T971" s="11"/>
      <c r="U971" s="11"/>
      <c r="Y971" s="27"/>
      <c r="Z971" s="11"/>
      <c r="AE971" s="11"/>
      <c r="AH971" s="28"/>
      <c r="AI971" s="28"/>
      <c r="AJ971" s="12"/>
      <c r="AK971" s="29"/>
      <c r="AL971" s="12"/>
    </row>
    <row r="972" spans="9:38" x14ac:dyDescent="0.25">
      <c r="I972" s="15"/>
      <c r="K972" s="16"/>
      <c r="L972" s="16"/>
      <c r="M972" s="16"/>
      <c r="N972" s="16"/>
      <c r="O972" s="16"/>
      <c r="S972" s="11"/>
      <c r="T972" s="11"/>
      <c r="U972" s="11"/>
      <c r="Y972" s="27"/>
      <c r="Z972" s="11"/>
      <c r="AE972" s="11"/>
      <c r="AH972" s="28"/>
      <c r="AI972" s="28"/>
      <c r="AJ972" s="12"/>
      <c r="AK972" s="29"/>
      <c r="AL972" s="12"/>
    </row>
    <row r="973" spans="9:38" x14ac:dyDescent="0.25">
      <c r="I973" s="15"/>
      <c r="K973" s="16"/>
      <c r="L973" s="16"/>
      <c r="M973" s="16"/>
      <c r="N973" s="16"/>
      <c r="O973" s="16"/>
      <c r="S973" s="11"/>
      <c r="T973" s="11"/>
      <c r="U973" s="11"/>
      <c r="Y973" s="27"/>
      <c r="Z973" s="11"/>
      <c r="AE973" s="11"/>
      <c r="AH973" s="28"/>
      <c r="AI973" s="28"/>
      <c r="AJ973" s="12"/>
      <c r="AK973" s="29"/>
      <c r="AL973" s="12"/>
    </row>
    <row r="974" spans="9:38" x14ac:dyDescent="0.25">
      <c r="I974" s="15"/>
      <c r="K974" s="16"/>
      <c r="L974" s="16"/>
      <c r="M974" s="16"/>
      <c r="N974" s="16"/>
      <c r="O974" s="16"/>
      <c r="S974" s="11"/>
      <c r="T974" s="11"/>
      <c r="U974" s="11"/>
      <c r="Y974" s="27"/>
      <c r="Z974" s="11"/>
      <c r="AE974" s="11"/>
      <c r="AH974" s="28"/>
      <c r="AI974" s="28"/>
      <c r="AJ974" s="12"/>
      <c r="AK974" s="29"/>
      <c r="AL974" s="12"/>
    </row>
    <row r="975" spans="9:38" x14ac:dyDescent="0.25">
      <c r="I975" s="15"/>
      <c r="K975" s="16"/>
      <c r="L975" s="16"/>
      <c r="M975" s="16"/>
      <c r="N975" s="16"/>
      <c r="O975" s="16"/>
      <c r="S975" s="11"/>
      <c r="T975" s="11"/>
      <c r="U975" s="11"/>
      <c r="Y975" s="27"/>
      <c r="Z975" s="11"/>
      <c r="AE975" s="11"/>
      <c r="AH975" s="28"/>
      <c r="AI975" s="28"/>
      <c r="AJ975" s="12"/>
      <c r="AK975" s="29"/>
      <c r="AL975" s="12"/>
    </row>
    <row r="976" spans="9:38" x14ac:dyDescent="0.25">
      <c r="I976" s="15"/>
      <c r="K976" s="16"/>
      <c r="L976" s="16"/>
      <c r="M976" s="16"/>
      <c r="N976" s="16"/>
      <c r="O976" s="16"/>
      <c r="S976" s="11"/>
      <c r="T976" s="11"/>
      <c r="U976" s="11"/>
      <c r="Y976" s="27"/>
      <c r="Z976" s="11"/>
      <c r="AE976" s="11"/>
      <c r="AH976" s="28"/>
      <c r="AI976" s="28"/>
      <c r="AJ976" s="12"/>
      <c r="AK976" s="29"/>
      <c r="AL976" s="12"/>
    </row>
    <row r="977" spans="9:38" x14ac:dyDescent="0.25">
      <c r="I977" s="15"/>
      <c r="K977" s="16"/>
      <c r="L977" s="16"/>
      <c r="M977" s="16"/>
      <c r="N977" s="16"/>
      <c r="O977" s="16"/>
      <c r="S977" s="11"/>
      <c r="T977" s="11"/>
      <c r="U977" s="11"/>
      <c r="Y977" s="27"/>
      <c r="Z977" s="11"/>
      <c r="AE977" s="11"/>
      <c r="AH977" s="28"/>
      <c r="AI977" s="28"/>
      <c r="AJ977" s="12"/>
      <c r="AK977" s="29"/>
      <c r="AL977" s="12"/>
    </row>
    <row r="978" spans="9:38" x14ac:dyDescent="0.25">
      <c r="I978" s="15"/>
      <c r="K978" s="16"/>
      <c r="L978" s="16"/>
      <c r="M978" s="16"/>
      <c r="N978" s="16"/>
      <c r="O978" s="16"/>
      <c r="S978" s="11"/>
      <c r="T978" s="11"/>
      <c r="U978" s="11"/>
      <c r="Y978" s="27"/>
      <c r="Z978" s="11"/>
      <c r="AE978" s="11"/>
      <c r="AH978" s="28"/>
      <c r="AI978" s="28"/>
      <c r="AJ978" s="12"/>
      <c r="AK978" s="29"/>
      <c r="AL978" s="12"/>
    </row>
    <row r="979" spans="9:38" x14ac:dyDescent="0.25">
      <c r="I979" s="15"/>
      <c r="K979" s="16"/>
      <c r="L979" s="16"/>
      <c r="M979" s="16"/>
      <c r="N979" s="16"/>
      <c r="O979" s="16"/>
      <c r="S979" s="11"/>
      <c r="T979" s="11"/>
      <c r="U979" s="11"/>
      <c r="Y979" s="27"/>
      <c r="Z979" s="11"/>
      <c r="AE979" s="11"/>
      <c r="AH979" s="28"/>
      <c r="AI979" s="28"/>
      <c r="AJ979" s="12"/>
      <c r="AK979" s="29"/>
      <c r="AL979" s="12"/>
    </row>
    <row r="980" spans="9:38" x14ac:dyDescent="0.25">
      <c r="I980" s="15"/>
      <c r="K980" s="16"/>
      <c r="L980" s="16"/>
      <c r="M980" s="16"/>
      <c r="N980" s="16"/>
      <c r="O980" s="16"/>
      <c r="S980" s="11"/>
      <c r="T980" s="11"/>
      <c r="U980" s="11"/>
      <c r="Y980" s="27"/>
      <c r="Z980" s="11"/>
      <c r="AE980" s="11"/>
      <c r="AH980" s="28"/>
      <c r="AI980" s="28"/>
      <c r="AJ980" s="12"/>
      <c r="AK980" s="29"/>
      <c r="AL980" s="12"/>
    </row>
    <row r="981" spans="9:38" x14ac:dyDescent="0.25">
      <c r="I981" s="15"/>
      <c r="K981" s="16"/>
      <c r="L981" s="16"/>
      <c r="M981" s="16"/>
      <c r="N981" s="16"/>
      <c r="O981" s="16"/>
      <c r="S981" s="11"/>
      <c r="T981" s="11"/>
      <c r="U981" s="11"/>
      <c r="Y981" s="27"/>
      <c r="Z981" s="11"/>
      <c r="AE981" s="11"/>
      <c r="AH981" s="28"/>
      <c r="AI981" s="28"/>
      <c r="AJ981" s="12"/>
      <c r="AK981" s="29"/>
      <c r="AL981" s="12"/>
    </row>
    <row r="982" spans="9:38" x14ac:dyDescent="0.25">
      <c r="I982" s="15"/>
      <c r="K982" s="16"/>
      <c r="L982" s="16"/>
      <c r="M982" s="16"/>
      <c r="N982" s="16"/>
      <c r="O982" s="16"/>
      <c r="S982" s="11"/>
      <c r="T982" s="11"/>
      <c r="U982" s="11"/>
      <c r="Y982" s="27"/>
      <c r="Z982" s="11"/>
      <c r="AE982" s="11"/>
      <c r="AH982" s="28"/>
      <c r="AI982" s="28"/>
      <c r="AJ982" s="12"/>
      <c r="AK982" s="29"/>
      <c r="AL982" s="12"/>
    </row>
    <row r="983" spans="9:38" x14ac:dyDescent="0.25">
      <c r="I983" s="15"/>
      <c r="K983" s="16"/>
      <c r="L983" s="16"/>
      <c r="M983" s="16"/>
      <c r="N983" s="16"/>
      <c r="O983" s="16"/>
      <c r="S983" s="11"/>
      <c r="T983" s="11"/>
      <c r="U983" s="11"/>
      <c r="Y983" s="27"/>
      <c r="Z983" s="11"/>
      <c r="AE983" s="11"/>
      <c r="AH983" s="28"/>
      <c r="AI983" s="28"/>
      <c r="AJ983" s="12"/>
      <c r="AK983" s="29"/>
      <c r="AL983" s="12"/>
    </row>
    <row r="984" spans="9:38" x14ac:dyDescent="0.25">
      <c r="I984" s="15"/>
      <c r="K984" s="16"/>
      <c r="L984" s="16"/>
      <c r="M984" s="16"/>
      <c r="N984" s="16"/>
      <c r="O984" s="16"/>
      <c r="S984" s="11"/>
      <c r="T984" s="11"/>
      <c r="U984" s="11"/>
      <c r="Y984" s="27"/>
      <c r="Z984" s="11"/>
      <c r="AE984" s="11"/>
      <c r="AH984" s="28"/>
      <c r="AI984" s="28"/>
      <c r="AJ984" s="12"/>
      <c r="AK984" s="29"/>
      <c r="AL984" s="12"/>
    </row>
    <row r="985" spans="9:38" x14ac:dyDescent="0.25">
      <c r="I985" s="15"/>
      <c r="K985" s="16"/>
      <c r="L985" s="16"/>
      <c r="M985" s="16"/>
      <c r="N985" s="16"/>
      <c r="O985" s="16"/>
      <c r="S985" s="11"/>
      <c r="T985" s="11"/>
      <c r="U985" s="11"/>
      <c r="Y985" s="27"/>
      <c r="Z985" s="11"/>
      <c r="AE985" s="11"/>
      <c r="AH985" s="28"/>
      <c r="AI985" s="28"/>
      <c r="AJ985" s="12"/>
      <c r="AK985" s="29"/>
      <c r="AL985" s="12"/>
    </row>
    <row r="986" spans="9:38" x14ac:dyDescent="0.25">
      <c r="I986" s="15"/>
      <c r="K986" s="16"/>
      <c r="L986" s="16"/>
      <c r="M986" s="16"/>
      <c r="N986" s="16"/>
      <c r="O986" s="16"/>
      <c r="S986" s="11"/>
      <c r="T986" s="11"/>
      <c r="U986" s="11"/>
      <c r="Y986" s="27"/>
      <c r="Z986" s="11"/>
      <c r="AE986" s="11"/>
      <c r="AH986" s="28"/>
      <c r="AI986" s="28"/>
      <c r="AJ986" s="12"/>
      <c r="AK986" s="29"/>
      <c r="AL986" s="12"/>
    </row>
    <row r="987" spans="9:38" x14ac:dyDescent="0.25">
      <c r="I987" s="15"/>
      <c r="K987" s="16"/>
      <c r="L987" s="16"/>
      <c r="M987" s="16"/>
      <c r="N987" s="16"/>
      <c r="O987" s="16"/>
      <c r="S987" s="11"/>
      <c r="T987" s="11"/>
      <c r="U987" s="11"/>
      <c r="Y987" s="27"/>
      <c r="Z987" s="11"/>
      <c r="AE987" s="11"/>
      <c r="AH987" s="28"/>
      <c r="AI987" s="28"/>
      <c r="AJ987" s="12"/>
      <c r="AK987" s="29"/>
      <c r="AL987" s="12"/>
    </row>
    <row r="988" spans="9:38" x14ac:dyDescent="0.25">
      <c r="I988" s="15"/>
      <c r="K988" s="16"/>
      <c r="L988" s="16"/>
      <c r="M988" s="16"/>
      <c r="N988" s="16"/>
      <c r="O988" s="16"/>
      <c r="S988" s="11"/>
      <c r="T988" s="11"/>
      <c r="U988" s="11"/>
      <c r="Y988" s="27"/>
      <c r="Z988" s="11"/>
      <c r="AE988" s="11"/>
      <c r="AH988" s="28"/>
      <c r="AI988" s="28"/>
      <c r="AJ988" s="12"/>
      <c r="AK988" s="29"/>
      <c r="AL988" s="12"/>
    </row>
    <row r="989" spans="9:38" x14ac:dyDescent="0.25">
      <c r="I989" s="15"/>
      <c r="K989" s="16"/>
      <c r="L989" s="16"/>
      <c r="M989" s="16"/>
      <c r="N989" s="16"/>
      <c r="O989" s="16"/>
      <c r="S989" s="11"/>
      <c r="T989" s="11"/>
      <c r="U989" s="11"/>
      <c r="Y989" s="27"/>
      <c r="Z989" s="11"/>
      <c r="AE989" s="11"/>
      <c r="AH989" s="28"/>
      <c r="AI989" s="28"/>
      <c r="AJ989" s="12"/>
      <c r="AK989" s="29"/>
      <c r="AL989" s="12"/>
    </row>
    <row r="990" spans="9:38" x14ac:dyDescent="0.25">
      <c r="I990" s="15"/>
      <c r="K990" s="16"/>
      <c r="L990" s="16"/>
      <c r="M990" s="16"/>
      <c r="N990" s="16"/>
      <c r="O990" s="16"/>
      <c r="S990" s="11"/>
      <c r="T990" s="11"/>
      <c r="U990" s="11"/>
      <c r="Y990" s="27"/>
      <c r="Z990" s="11"/>
      <c r="AE990" s="11"/>
      <c r="AH990" s="28"/>
      <c r="AI990" s="28"/>
      <c r="AJ990" s="12"/>
      <c r="AK990" s="29"/>
      <c r="AL990" s="12"/>
    </row>
    <row r="991" spans="9:38" x14ac:dyDescent="0.25">
      <c r="I991" s="15"/>
      <c r="K991" s="16"/>
      <c r="L991" s="16"/>
      <c r="M991" s="16"/>
      <c r="N991" s="16"/>
      <c r="O991" s="16"/>
      <c r="S991" s="11"/>
      <c r="T991" s="11"/>
      <c r="U991" s="11"/>
      <c r="Y991" s="27"/>
      <c r="Z991" s="11"/>
      <c r="AE991" s="11"/>
      <c r="AH991" s="28"/>
      <c r="AI991" s="28"/>
      <c r="AJ991" s="12"/>
      <c r="AK991" s="29"/>
      <c r="AL991" s="12"/>
    </row>
    <row r="992" spans="9:38" x14ac:dyDescent="0.25">
      <c r="I992" s="15"/>
      <c r="K992" s="16"/>
      <c r="L992" s="16"/>
      <c r="M992" s="16"/>
      <c r="N992" s="16"/>
      <c r="O992" s="16"/>
      <c r="S992" s="11"/>
      <c r="T992" s="11"/>
      <c r="U992" s="11"/>
      <c r="Y992" s="27"/>
      <c r="Z992" s="11"/>
      <c r="AE992" s="11"/>
      <c r="AH992" s="28"/>
      <c r="AI992" s="28"/>
      <c r="AJ992" s="12"/>
      <c r="AK992" s="29"/>
      <c r="AL992" s="12"/>
    </row>
    <row r="993" spans="9:38" x14ac:dyDescent="0.25">
      <c r="I993" s="15"/>
      <c r="K993" s="16"/>
      <c r="L993" s="16"/>
      <c r="M993" s="16"/>
      <c r="N993" s="16"/>
      <c r="O993" s="16"/>
      <c r="S993" s="11"/>
      <c r="T993" s="11"/>
      <c r="U993" s="11"/>
      <c r="Y993" s="27"/>
      <c r="Z993" s="11"/>
      <c r="AE993" s="11"/>
      <c r="AH993" s="28"/>
      <c r="AI993" s="28"/>
      <c r="AJ993" s="12"/>
      <c r="AK993" s="29"/>
      <c r="AL993" s="12"/>
    </row>
    <row r="994" spans="9:38" x14ac:dyDescent="0.25">
      <c r="I994" s="15"/>
      <c r="K994" s="16"/>
      <c r="L994" s="16"/>
      <c r="M994" s="16"/>
      <c r="N994" s="16"/>
      <c r="O994" s="16"/>
      <c r="S994" s="11"/>
      <c r="T994" s="11"/>
      <c r="U994" s="11"/>
      <c r="Y994" s="27"/>
      <c r="Z994" s="11"/>
      <c r="AE994" s="11"/>
      <c r="AH994" s="28"/>
      <c r="AI994" s="28"/>
      <c r="AJ994" s="12"/>
      <c r="AK994" s="29"/>
      <c r="AL994" s="12"/>
    </row>
    <row r="995" spans="9:38" x14ac:dyDescent="0.25">
      <c r="I995" s="15"/>
      <c r="K995" s="16"/>
      <c r="L995" s="16"/>
      <c r="M995" s="16"/>
      <c r="N995" s="16"/>
      <c r="O995" s="16"/>
      <c r="S995" s="11"/>
      <c r="T995" s="11"/>
      <c r="U995" s="11"/>
      <c r="Y995" s="27"/>
      <c r="Z995" s="11"/>
      <c r="AE995" s="11"/>
      <c r="AH995" s="28"/>
      <c r="AI995" s="28"/>
      <c r="AJ995" s="12"/>
      <c r="AK995" s="29"/>
      <c r="AL995" s="12"/>
    </row>
    <row r="996" spans="9:38" x14ac:dyDescent="0.25">
      <c r="I996" s="15"/>
      <c r="K996" s="16"/>
      <c r="L996" s="16"/>
      <c r="M996" s="16"/>
      <c r="N996" s="16"/>
      <c r="O996" s="16"/>
      <c r="S996" s="11"/>
      <c r="T996" s="11"/>
      <c r="U996" s="11"/>
      <c r="Y996" s="27"/>
      <c r="Z996" s="11"/>
      <c r="AE996" s="11"/>
      <c r="AH996" s="28"/>
      <c r="AI996" s="28"/>
      <c r="AJ996" s="12"/>
      <c r="AK996" s="29"/>
      <c r="AL996" s="12"/>
    </row>
    <row r="997" spans="9:38" x14ac:dyDescent="0.25">
      <c r="I997" s="15"/>
      <c r="K997" s="16"/>
      <c r="L997" s="16"/>
      <c r="M997" s="16"/>
      <c r="N997" s="16"/>
      <c r="O997" s="16"/>
      <c r="S997" s="11"/>
      <c r="T997" s="11"/>
      <c r="U997" s="11"/>
      <c r="Y997" s="27"/>
      <c r="Z997" s="11"/>
      <c r="AE997" s="11"/>
      <c r="AH997" s="28"/>
      <c r="AI997" s="28"/>
      <c r="AJ997" s="12"/>
      <c r="AK997" s="29"/>
      <c r="AL997" s="12"/>
    </row>
    <row r="998" spans="9:38" x14ac:dyDescent="0.25">
      <c r="I998" s="15"/>
      <c r="K998" s="16"/>
      <c r="L998" s="16"/>
      <c r="M998" s="16"/>
      <c r="N998" s="16"/>
      <c r="O998" s="16"/>
      <c r="S998" s="11"/>
      <c r="T998" s="11"/>
      <c r="U998" s="11"/>
      <c r="Y998" s="27"/>
      <c r="Z998" s="11"/>
      <c r="AE998" s="11"/>
      <c r="AH998" s="28"/>
      <c r="AI998" s="28"/>
      <c r="AJ998" s="12"/>
      <c r="AK998" s="29"/>
      <c r="AL998" s="12"/>
    </row>
    <row r="999" spans="9:38" x14ac:dyDescent="0.25">
      <c r="I999" s="15"/>
      <c r="K999" s="16"/>
      <c r="L999" s="16"/>
      <c r="M999" s="16"/>
      <c r="N999" s="16"/>
      <c r="O999" s="16"/>
      <c r="S999" s="11"/>
      <c r="T999" s="11"/>
      <c r="U999" s="11"/>
      <c r="Y999" s="27"/>
      <c r="Z999" s="11"/>
      <c r="AE999" s="11"/>
      <c r="AH999" s="28"/>
      <c r="AI999" s="28"/>
      <c r="AJ999" s="12"/>
      <c r="AK999" s="29"/>
      <c r="AL999" s="12"/>
    </row>
    <row r="1000" spans="9:38" x14ac:dyDescent="0.25">
      <c r="I1000" s="15"/>
      <c r="K1000" s="16"/>
      <c r="L1000" s="16"/>
      <c r="M1000" s="16"/>
      <c r="N1000" s="16"/>
      <c r="O1000" s="16"/>
      <c r="S1000" s="11"/>
      <c r="T1000" s="11"/>
      <c r="U1000" s="11"/>
      <c r="Y1000" s="27"/>
      <c r="Z1000" s="11"/>
      <c r="AE1000" s="11"/>
      <c r="AH1000" s="28"/>
      <c r="AI1000" s="28"/>
      <c r="AJ1000" s="12"/>
      <c r="AK1000" s="29"/>
      <c r="AL1000" s="12"/>
    </row>
    <row r="1001" spans="9:38" x14ac:dyDescent="0.25">
      <c r="I1001" s="15"/>
      <c r="K1001" s="16"/>
      <c r="L1001" s="16"/>
      <c r="M1001" s="16"/>
      <c r="N1001" s="16"/>
      <c r="O1001" s="16"/>
      <c r="S1001" s="11"/>
      <c r="T1001" s="11"/>
      <c r="U1001" s="11"/>
      <c r="Y1001" s="27"/>
      <c r="Z1001" s="11"/>
      <c r="AE1001" s="11"/>
      <c r="AH1001" s="28"/>
      <c r="AI1001" s="28"/>
      <c r="AJ1001" s="12"/>
      <c r="AK1001" s="29"/>
      <c r="AL1001" s="12"/>
    </row>
    <row r="1002" spans="9:38" x14ac:dyDescent="0.25">
      <c r="I1002" s="15"/>
      <c r="K1002" s="16"/>
      <c r="L1002" s="16"/>
      <c r="M1002" s="16"/>
      <c r="N1002" s="16"/>
      <c r="O1002" s="16"/>
      <c r="S1002" s="11"/>
      <c r="T1002" s="11"/>
      <c r="U1002" s="11"/>
      <c r="Y1002" s="27"/>
      <c r="Z1002" s="11"/>
      <c r="AE1002" s="11"/>
      <c r="AH1002" s="28"/>
      <c r="AI1002" s="28"/>
      <c r="AJ1002" s="12"/>
      <c r="AK1002" s="29"/>
      <c r="AL1002" s="12"/>
    </row>
    <row r="1003" spans="9:38" x14ac:dyDescent="0.25">
      <c r="I1003" s="15"/>
      <c r="K1003" s="16"/>
      <c r="L1003" s="16"/>
      <c r="M1003" s="16"/>
      <c r="N1003" s="16"/>
      <c r="O1003" s="16"/>
      <c r="S1003" s="11"/>
      <c r="T1003" s="11"/>
      <c r="U1003" s="11"/>
      <c r="Y1003" s="27"/>
      <c r="Z1003" s="11"/>
      <c r="AE1003" s="11"/>
      <c r="AH1003" s="28"/>
      <c r="AI1003" s="28"/>
      <c r="AJ1003" s="12"/>
      <c r="AK1003" s="29"/>
      <c r="AL1003" s="12"/>
    </row>
    <row r="1004" spans="9:38" x14ac:dyDescent="0.25">
      <c r="I1004" s="15"/>
      <c r="K1004" s="16"/>
      <c r="L1004" s="16"/>
      <c r="M1004" s="16"/>
      <c r="N1004" s="16"/>
      <c r="O1004" s="16"/>
      <c r="S1004" s="11"/>
      <c r="T1004" s="11"/>
      <c r="U1004" s="11"/>
      <c r="Y1004" s="27"/>
      <c r="Z1004" s="11"/>
      <c r="AE1004" s="11"/>
      <c r="AH1004" s="28"/>
      <c r="AI1004" s="28"/>
      <c r="AJ1004" s="12"/>
      <c r="AK1004" s="29"/>
      <c r="AL1004" s="12"/>
    </row>
    <row r="1005" spans="9:38" x14ac:dyDescent="0.25">
      <c r="I1005" s="15"/>
      <c r="K1005" s="16"/>
      <c r="L1005" s="16"/>
      <c r="M1005" s="16"/>
      <c r="N1005" s="16"/>
      <c r="O1005" s="16"/>
      <c r="S1005" s="11"/>
      <c r="T1005" s="11"/>
      <c r="U1005" s="11"/>
      <c r="Y1005" s="27"/>
      <c r="Z1005" s="11"/>
      <c r="AE1005" s="11"/>
      <c r="AH1005" s="28"/>
      <c r="AI1005" s="28"/>
      <c r="AJ1005" s="12"/>
      <c r="AK1005" s="29"/>
      <c r="AL1005" s="12"/>
    </row>
    <row r="1006" spans="9:38" x14ac:dyDescent="0.25">
      <c r="I1006" s="15"/>
      <c r="K1006" s="16"/>
      <c r="L1006" s="16"/>
      <c r="M1006" s="16"/>
      <c r="N1006" s="16"/>
      <c r="O1006" s="16"/>
      <c r="S1006" s="11"/>
      <c r="T1006" s="11"/>
      <c r="U1006" s="11"/>
      <c r="Y1006" s="27"/>
      <c r="Z1006" s="11"/>
      <c r="AE1006" s="11"/>
      <c r="AH1006" s="28"/>
      <c r="AI1006" s="28"/>
      <c r="AJ1006" s="12"/>
      <c r="AK1006" s="29"/>
      <c r="AL1006" s="12"/>
    </row>
    <row r="1007" spans="9:38" x14ac:dyDescent="0.25">
      <c r="I1007" s="15"/>
      <c r="K1007" s="16"/>
      <c r="L1007" s="16"/>
      <c r="M1007" s="16"/>
      <c r="N1007" s="16"/>
      <c r="O1007" s="16"/>
      <c r="S1007" s="11"/>
      <c r="T1007" s="11"/>
      <c r="U1007" s="11"/>
      <c r="Y1007" s="27"/>
      <c r="Z1007" s="11"/>
      <c r="AE1007" s="11"/>
      <c r="AH1007" s="28"/>
      <c r="AI1007" s="28"/>
      <c r="AJ1007" s="12"/>
      <c r="AK1007" s="29"/>
      <c r="AL1007" s="12"/>
    </row>
    <row r="1008" spans="9:38" x14ac:dyDescent="0.25">
      <c r="I1008" s="15"/>
      <c r="K1008" s="16"/>
      <c r="L1008" s="16"/>
      <c r="M1008" s="16"/>
      <c r="N1008" s="16"/>
      <c r="O1008" s="16"/>
      <c r="S1008" s="11"/>
      <c r="T1008" s="11"/>
      <c r="U1008" s="11"/>
      <c r="Y1008" s="27"/>
      <c r="Z1008" s="11"/>
      <c r="AE1008" s="11"/>
      <c r="AH1008" s="28"/>
      <c r="AI1008" s="28"/>
      <c r="AJ1008" s="12"/>
      <c r="AK1008" s="29"/>
      <c r="AL1008" s="12"/>
    </row>
    <row r="1009" spans="9:38" x14ac:dyDescent="0.25">
      <c r="I1009" s="15"/>
      <c r="K1009" s="16"/>
      <c r="L1009" s="16"/>
      <c r="M1009" s="16"/>
      <c r="N1009" s="16"/>
      <c r="O1009" s="16"/>
      <c r="S1009" s="11"/>
      <c r="T1009" s="11"/>
      <c r="U1009" s="11"/>
      <c r="Y1009" s="27"/>
      <c r="Z1009" s="11"/>
      <c r="AE1009" s="11"/>
      <c r="AH1009" s="28"/>
      <c r="AI1009" s="28"/>
      <c r="AJ1009" s="12"/>
      <c r="AK1009" s="29"/>
      <c r="AL1009" s="12"/>
    </row>
    <row r="1010" spans="9:38" x14ac:dyDescent="0.25">
      <c r="I1010" s="15"/>
      <c r="K1010" s="16"/>
      <c r="L1010" s="16"/>
      <c r="M1010" s="16"/>
      <c r="N1010" s="16"/>
      <c r="O1010" s="16"/>
      <c r="S1010" s="11"/>
      <c r="T1010" s="11"/>
      <c r="U1010" s="11"/>
      <c r="Y1010" s="27"/>
      <c r="Z1010" s="11"/>
      <c r="AE1010" s="11"/>
      <c r="AH1010" s="28"/>
      <c r="AI1010" s="28"/>
      <c r="AJ1010" s="12"/>
      <c r="AK1010" s="29"/>
      <c r="AL1010" s="12"/>
    </row>
    <row r="1011" spans="9:38" x14ac:dyDescent="0.25">
      <c r="I1011" s="15"/>
      <c r="K1011" s="16"/>
      <c r="L1011" s="16"/>
      <c r="M1011" s="16"/>
      <c r="N1011" s="16"/>
      <c r="O1011" s="16"/>
      <c r="S1011" s="11"/>
      <c r="T1011" s="11"/>
      <c r="U1011" s="11"/>
      <c r="Y1011" s="27"/>
      <c r="Z1011" s="11"/>
      <c r="AE1011" s="11"/>
      <c r="AH1011" s="28"/>
      <c r="AI1011" s="28"/>
      <c r="AJ1011" s="12"/>
      <c r="AK1011" s="29"/>
      <c r="AL1011" s="12"/>
    </row>
    <row r="1012" spans="9:38" x14ac:dyDescent="0.25">
      <c r="I1012" s="15"/>
      <c r="K1012" s="16"/>
      <c r="L1012" s="16"/>
      <c r="M1012" s="16"/>
      <c r="N1012" s="16"/>
      <c r="O1012" s="16"/>
      <c r="S1012" s="11"/>
      <c r="T1012" s="11"/>
      <c r="U1012" s="11"/>
      <c r="Y1012" s="27"/>
      <c r="Z1012" s="11"/>
      <c r="AE1012" s="11"/>
      <c r="AH1012" s="28"/>
      <c r="AI1012" s="28"/>
      <c r="AJ1012" s="12"/>
      <c r="AK1012" s="29"/>
      <c r="AL1012" s="12"/>
    </row>
    <row r="1013" spans="9:38" x14ac:dyDescent="0.25">
      <c r="I1013" s="15"/>
      <c r="K1013" s="16"/>
      <c r="L1013" s="16"/>
      <c r="M1013" s="16"/>
      <c r="N1013" s="16"/>
      <c r="O1013" s="16"/>
      <c r="S1013" s="11"/>
      <c r="T1013" s="11"/>
      <c r="U1013" s="11"/>
      <c r="Y1013" s="27"/>
      <c r="Z1013" s="11"/>
      <c r="AE1013" s="11"/>
      <c r="AH1013" s="28"/>
      <c r="AI1013" s="28"/>
      <c r="AJ1013" s="12"/>
      <c r="AK1013" s="29"/>
      <c r="AL1013" s="12"/>
    </row>
    <row r="1014" spans="9:38" x14ac:dyDescent="0.25">
      <c r="I1014" s="15"/>
      <c r="K1014" s="16"/>
      <c r="L1014" s="16"/>
      <c r="M1014" s="16"/>
      <c r="N1014" s="16"/>
      <c r="O1014" s="16"/>
      <c r="S1014" s="11"/>
      <c r="T1014" s="11"/>
      <c r="U1014" s="11"/>
      <c r="Y1014" s="27"/>
      <c r="Z1014" s="11"/>
      <c r="AE1014" s="11"/>
      <c r="AH1014" s="28"/>
      <c r="AI1014" s="28"/>
      <c r="AJ1014" s="12"/>
      <c r="AK1014" s="29"/>
      <c r="AL1014" s="12"/>
    </row>
    <row r="1015" spans="9:38" x14ac:dyDescent="0.25">
      <c r="I1015" s="15"/>
      <c r="K1015" s="16"/>
      <c r="L1015" s="16"/>
      <c r="M1015" s="16"/>
      <c r="N1015" s="16"/>
      <c r="O1015" s="16"/>
      <c r="S1015" s="11"/>
      <c r="T1015" s="11"/>
      <c r="U1015" s="11"/>
      <c r="Y1015" s="27"/>
      <c r="Z1015" s="11"/>
      <c r="AE1015" s="11"/>
      <c r="AH1015" s="28"/>
      <c r="AI1015" s="28"/>
      <c r="AJ1015" s="12"/>
      <c r="AK1015" s="29"/>
      <c r="AL1015" s="12"/>
    </row>
    <row r="1016" spans="9:38" x14ac:dyDescent="0.25">
      <c r="I1016" s="15"/>
      <c r="K1016" s="16"/>
      <c r="L1016" s="16"/>
      <c r="M1016" s="16"/>
      <c r="N1016" s="16"/>
      <c r="O1016" s="16"/>
      <c r="S1016" s="11"/>
      <c r="T1016" s="11"/>
      <c r="U1016" s="11"/>
      <c r="Y1016" s="27"/>
      <c r="Z1016" s="11"/>
      <c r="AE1016" s="11"/>
      <c r="AH1016" s="28"/>
      <c r="AI1016" s="28"/>
      <c r="AJ1016" s="12"/>
      <c r="AK1016" s="29"/>
      <c r="AL1016" s="12"/>
    </row>
    <row r="1017" spans="9:38" x14ac:dyDescent="0.25">
      <c r="I1017" s="15"/>
      <c r="K1017" s="16"/>
      <c r="L1017" s="16"/>
      <c r="M1017" s="16"/>
      <c r="N1017" s="16"/>
      <c r="O1017" s="16"/>
      <c r="S1017" s="11"/>
      <c r="T1017" s="11"/>
      <c r="U1017" s="11"/>
      <c r="Y1017" s="27"/>
      <c r="Z1017" s="11"/>
      <c r="AE1017" s="11"/>
      <c r="AH1017" s="28"/>
      <c r="AI1017" s="28"/>
      <c r="AJ1017" s="12"/>
      <c r="AK1017" s="29"/>
      <c r="AL1017" s="12"/>
    </row>
    <row r="1018" spans="9:38" x14ac:dyDescent="0.25">
      <c r="I1018" s="15"/>
      <c r="K1018" s="16"/>
      <c r="L1018" s="16"/>
      <c r="M1018" s="16"/>
      <c r="N1018" s="16"/>
      <c r="O1018" s="16"/>
      <c r="S1018" s="11"/>
      <c r="T1018" s="11"/>
      <c r="U1018" s="11"/>
      <c r="Y1018" s="27"/>
      <c r="Z1018" s="11"/>
      <c r="AE1018" s="11"/>
      <c r="AH1018" s="28"/>
      <c r="AI1018" s="28"/>
      <c r="AJ1018" s="12"/>
      <c r="AK1018" s="29"/>
      <c r="AL1018" s="12"/>
    </row>
    <row r="1019" spans="9:38" x14ac:dyDescent="0.25">
      <c r="I1019" s="15"/>
      <c r="K1019" s="16"/>
      <c r="L1019" s="16"/>
      <c r="M1019" s="16"/>
      <c r="N1019" s="16"/>
      <c r="O1019" s="16"/>
      <c r="S1019" s="11"/>
      <c r="T1019" s="11"/>
      <c r="U1019" s="11"/>
      <c r="Y1019" s="27"/>
      <c r="Z1019" s="11"/>
      <c r="AE1019" s="11"/>
      <c r="AH1019" s="28"/>
      <c r="AI1019" s="28"/>
      <c r="AJ1019" s="12"/>
      <c r="AK1019" s="29"/>
      <c r="AL1019" s="12"/>
    </row>
    <row r="1020" spans="9:38" x14ac:dyDescent="0.25">
      <c r="I1020" s="15"/>
      <c r="K1020" s="16"/>
      <c r="L1020" s="16"/>
      <c r="M1020" s="16"/>
      <c r="N1020" s="16"/>
      <c r="O1020" s="16"/>
      <c r="S1020" s="11"/>
      <c r="T1020" s="11"/>
      <c r="U1020" s="11"/>
      <c r="Y1020" s="27"/>
      <c r="Z1020" s="11"/>
      <c r="AE1020" s="11"/>
      <c r="AH1020" s="28"/>
      <c r="AI1020" s="28"/>
      <c r="AJ1020" s="12"/>
      <c r="AK1020" s="29"/>
      <c r="AL1020" s="12"/>
    </row>
    <row r="1021" spans="9:38" x14ac:dyDescent="0.25">
      <c r="I1021" s="15"/>
      <c r="K1021" s="16"/>
      <c r="L1021" s="16"/>
      <c r="M1021" s="16"/>
      <c r="N1021" s="16"/>
      <c r="O1021" s="16"/>
      <c r="S1021" s="11"/>
      <c r="T1021" s="11"/>
      <c r="U1021" s="11"/>
      <c r="Y1021" s="27"/>
      <c r="Z1021" s="11"/>
      <c r="AE1021" s="11"/>
      <c r="AH1021" s="28"/>
      <c r="AI1021" s="28"/>
      <c r="AJ1021" s="12"/>
      <c r="AK1021" s="29"/>
      <c r="AL1021" s="12"/>
    </row>
    <row r="1022" spans="9:38" x14ac:dyDescent="0.25">
      <c r="I1022" s="15"/>
      <c r="K1022" s="16"/>
      <c r="L1022" s="16"/>
      <c r="M1022" s="16"/>
      <c r="N1022" s="16"/>
      <c r="O1022" s="16"/>
      <c r="S1022" s="11"/>
      <c r="T1022" s="11"/>
      <c r="U1022" s="11"/>
      <c r="Y1022" s="27"/>
      <c r="Z1022" s="11"/>
      <c r="AE1022" s="11"/>
      <c r="AH1022" s="28"/>
      <c r="AI1022" s="28"/>
      <c r="AJ1022" s="12"/>
      <c r="AK1022" s="29"/>
      <c r="AL1022" s="12"/>
    </row>
    <row r="1023" spans="9:38" x14ac:dyDescent="0.25">
      <c r="I1023" s="15"/>
      <c r="K1023" s="16"/>
      <c r="L1023" s="16"/>
      <c r="M1023" s="16"/>
      <c r="N1023" s="16"/>
      <c r="O1023" s="16"/>
      <c r="S1023" s="11"/>
      <c r="T1023" s="11"/>
      <c r="U1023" s="11"/>
      <c r="Y1023" s="27"/>
      <c r="Z1023" s="11"/>
      <c r="AE1023" s="11"/>
      <c r="AH1023" s="28"/>
      <c r="AI1023" s="28"/>
      <c r="AJ1023" s="12"/>
      <c r="AK1023" s="29"/>
      <c r="AL1023" s="12"/>
    </row>
    <row r="1024" spans="9:38" x14ac:dyDescent="0.25">
      <c r="I1024" s="15"/>
      <c r="K1024" s="16"/>
      <c r="L1024" s="16"/>
      <c r="M1024" s="16"/>
      <c r="N1024" s="16"/>
      <c r="O1024" s="16"/>
      <c r="S1024" s="11"/>
      <c r="T1024" s="11"/>
      <c r="U1024" s="11"/>
      <c r="Y1024" s="27"/>
      <c r="Z1024" s="11"/>
      <c r="AE1024" s="11"/>
      <c r="AH1024" s="28"/>
      <c r="AI1024" s="28"/>
      <c r="AJ1024" s="12"/>
      <c r="AK1024" s="29"/>
      <c r="AL1024" s="12"/>
    </row>
    <row r="1025" spans="9:38" x14ac:dyDescent="0.25">
      <c r="I1025" s="15"/>
      <c r="K1025" s="16"/>
      <c r="L1025" s="16"/>
      <c r="M1025" s="16"/>
      <c r="N1025" s="16"/>
      <c r="O1025" s="16"/>
      <c r="S1025" s="11"/>
      <c r="T1025" s="11"/>
      <c r="U1025" s="11"/>
      <c r="Y1025" s="27"/>
      <c r="Z1025" s="11"/>
      <c r="AE1025" s="11"/>
      <c r="AH1025" s="28"/>
      <c r="AI1025" s="28"/>
      <c r="AJ1025" s="12"/>
      <c r="AK1025" s="29"/>
      <c r="AL1025" s="12"/>
    </row>
    <row r="1026" spans="9:38" x14ac:dyDescent="0.25">
      <c r="I1026" s="15"/>
      <c r="K1026" s="16"/>
      <c r="L1026" s="16"/>
      <c r="M1026" s="16"/>
      <c r="N1026" s="16"/>
      <c r="O1026" s="16"/>
      <c r="S1026" s="11"/>
      <c r="T1026" s="11"/>
      <c r="U1026" s="11"/>
      <c r="Y1026" s="27"/>
      <c r="Z1026" s="11"/>
      <c r="AE1026" s="11"/>
      <c r="AH1026" s="28"/>
      <c r="AI1026" s="28"/>
      <c r="AJ1026" s="12"/>
      <c r="AK1026" s="29"/>
      <c r="AL1026" s="12"/>
    </row>
    <row r="1027" spans="9:38" x14ac:dyDescent="0.25">
      <c r="I1027" s="15"/>
      <c r="K1027" s="16"/>
      <c r="L1027" s="16"/>
      <c r="M1027" s="16"/>
      <c r="N1027" s="16"/>
      <c r="O1027" s="16"/>
      <c r="S1027" s="11"/>
      <c r="T1027" s="11"/>
      <c r="U1027" s="11"/>
      <c r="Y1027" s="27"/>
      <c r="Z1027" s="11"/>
      <c r="AE1027" s="11"/>
      <c r="AH1027" s="28"/>
      <c r="AI1027" s="28"/>
      <c r="AJ1027" s="12"/>
      <c r="AK1027" s="29"/>
      <c r="AL1027" s="12"/>
    </row>
    <row r="1028" spans="9:38" x14ac:dyDescent="0.25">
      <c r="I1028" s="15"/>
      <c r="K1028" s="16"/>
      <c r="L1028" s="16"/>
      <c r="M1028" s="16"/>
      <c r="N1028" s="16"/>
      <c r="O1028" s="16"/>
      <c r="S1028" s="11"/>
      <c r="T1028" s="11"/>
      <c r="U1028" s="11"/>
      <c r="Y1028" s="27"/>
      <c r="Z1028" s="11"/>
      <c r="AE1028" s="11"/>
      <c r="AH1028" s="28"/>
      <c r="AI1028" s="28"/>
      <c r="AJ1028" s="12"/>
      <c r="AK1028" s="29"/>
      <c r="AL1028" s="12"/>
    </row>
    <row r="1029" spans="9:38" x14ac:dyDescent="0.25">
      <c r="I1029" s="15"/>
      <c r="K1029" s="16"/>
      <c r="L1029" s="16"/>
      <c r="M1029" s="16"/>
      <c r="N1029" s="16"/>
      <c r="O1029" s="16"/>
      <c r="S1029" s="11"/>
      <c r="T1029" s="11"/>
      <c r="U1029" s="11"/>
      <c r="Y1029" s="27"/>
      <c r="Z1029" s="11"/>
      <c r="AE1029" s="11"/>
      <c r="AH1029" s="28"/>
      <c r="AI1029" s="28"/>
      <c r="AJ1029" s="12"/>
      <c r="AK1029" s="29"/>
      <c r="AL1029" s="12"/>
    </row>
    <row r="1030" spans="9:38" x14ac:dyDescent="0.25">
      <c r="I1030" s="15"/>
      <c r="K1030" s="16"/>
      <c r="L1030" s="16"/>
      <c r="M1030" s="16"/>
      <c r="N1030" s="16"/>
      <c r="O1030" s="16"/>
      <c r="S1030" s="11"/>
      <c r="T1030" s="11"/>
      <c r="U1030" s="11"/>
      <c r="Y1030" s="27"/>
      <c r="Z1030" s="11"/>
      <c r="AE1030" s="11"/>
      <c r="AH1030" s="28"/>
      <c r="AI1030" s="28"/>
      <c r="AJ1030" s="12"/>
      <c r="AK1030" s="29"/>
      <c r="AL1030" s="12"/>
    </row>
    <row r="1031" spans="9:38" x14ac:dyDescent="0.25">
      <c r="I1031" s="15"/>
      <c r="K1031" s="16"/>
      <c r="L1031" s="16"/>
      <c r="M1031" s="16"/>
      <c r="N1031" s="16"/>
      <c r="O1031" s="16"/>
      <c r="S1031" s="11"/>
      <c r="T1031" s="11"/>
      <c r="U1031" s="11"/>
      <c r="Y1031" s="27"/>
      <c r="Z1031" s="11"/>
      <c r="AE1031" s="11"/>
      <c r="AH1031" s="28"/>
      <c r="AI1031" s="28"/>
      <c r="AJ1031" s="12"/>
      <c r="AK1031" s="29"/>
      <c r="AL1031" s="12"/>
    </row>
    <row r="1032" spans="9:38" x14ac:dyDescent="0.25">
      <c r="I1032" s="15"/>
      <c r="K1032" s="16"/>
      <c r="L1032" s="16"/>
      <c r="M1032" s="16"/>
      <c r="N1032" s="16"/>
      <c r="O1032" s="16"/>
      <c r="S1032" s="11"/>
      <c r="T1032" s="11"/>
      <c r="U1032" s="11"/>
      <c r="Y1032" s="27"/>
      <c r="Z1032" s="11"/>
      <c r="AE1032" s="11"/>
      <c r="AH1032" s="28"/>
      <c r="AI1032" s="28"/>
      <c r="AJ1032" s="12"/>
      <c r="AK1032" s="29"/>
      <c r="AL1032" s="12"/>
    </row>
    <row r="1033" spans="9:38" x14ac:dyDescent="0.25">
      <c r="I1033" s="15"/>
      <c r="K1033" s="16"/>
      <c r="L1033" s="16"/>
      <c r="M1033" s="16"/>
      <c r="N1033" s="16"/>
      <c r="O1033" s="16"/>
      <c r="S1033" s="11"/>
      <c r="T1033" s="11"/>
      <c r="U1033" s="11"/>
      <c r="Y1033" s="27"/>
      <c r="Z1033" s="11"/>
      <c r="AE1033" s="11"/>
      <c r="AH1033" s="28"/>
      <c r="AI1033" s="28"/>
      <c r="AJ1033" s="12"/>
      <c r="AK1033" s="29"/>
      <c r="AL1033" s="12"/>
    </row>
    <row r="1034" spans="9:38" x14ac:dyDescent="0.25">
      <c r="I1034" s="15"/>
      <c r="K1034" s="16"/>
      <c r="L1034" s="16"/>
      <c r="M1034" s="16"/>
      <c r="N1034" s="16"/>
      <c r="O1034" s="16"/>
      <c r="S1034" s="11"/>
      <c r="T1034" s="11"/>
      <c r="U1034" s="11"/>
      <c r="Y1034" s="27"/>
      <c r="Z1034" s="11"/>
      <c r="AE1034" s="11"/>
      <c r="AH1034" s="28"/>
      <c r="AI1034" s="28"/>
      <c r="AJ1034" s="12"/>
      <c r="AK1034" s="29"/>
      <c r="AL1034" s="12"/>
    </row>
    <row r="1035" spans="9:38" x14ac:dyDescent="0.25">
      <c r="I1035" s="15"/>
      <c r="K1035" s="16"/>
      <c r="L1035" s="16"/>
      <c r="M1035" s="16"/>
      <c r="N1035" s="16"/>
      <c r="O1035" s="16"/>
      <c r="S1035" s="11"/>
      <c r="T1035" s="11"/>
      <c r="U1035" s="11"/>
      <c r="Y1035" s="27"/>
      <c r="Z1035" s="11"/>
      <c r="AE1035" s="11"/>
      <c r="AH1035" s="28"/>
      <c r="AI1035" s="28"/>
      <c r="AJ1035" s="12"/>
      <c r="AK1035" s="29"/>
      <c r="AL1035" s="12"/>
    </row>
    <row r="1036" spans="9:38" x14ac:dyDescent="0.25">
      <c r="I1036" s="15"/>
      <c r="K1036" s="16"/>
      <c r="L1036" s="16"/>
      <c r="M1036" s="16"/>
      <c r="N1036" s="16"/>
      <c r="O1036" s="16"/>
      <c r="S1036" s="11"/>
      <c r="T1036" s="11"/>
      <c r="U1036" s="11"/>
      <c r="Y1036" s="27"/>
      <c r="Z1036" s="11"/>
      <c r="AE1036" s="11"/>
      <c r="AH1036" s="28"/>
      <c r="AI1036" s="28"/>
      <c r="AJ1036" s="12"/>
      <c r="AK1036" s="29"/>
      <c r="AL1036" s="12"/>
    </row>
    <row r="1037" spans="9:38" x14ac:dyDescent="0.25">
      <c r="I1037" s="15"/>
      <c r="K1037" s="16"/>
      <c r="L1037" s="16"/>
      <c r="M1037" s="16"/>
      <c r="N1037" s="16"/>
      <c r="O1037" s="16"/>
      <c r="S1037" s="11"/>
      <c r="T1037" s="11"/>
      <c r="U1037" s="11"/>
      <c r="Y1037" s="27"/>
      <c r="Z1037" s="11"/>
      <c r="AE1037" s="11"/>
      <c r="AH1037" s="28"/>
      <c r="AI1037" s="28"/>
      <c r="AJ1037" s="12"/>
      <c r="AK1037" s="29"/>
      <c r="AL1037" s="12"/>
    </row>
    <row r="1038" spans="9:38" x14ac:dyDescent="0.25">
      <c r="I1038" s="15"/>
      <c r="K1038" s="16"/>
      <c r="L1038" s="16"/>
      <c r="M1038" s="16"/>
      <c r="N1038" s="16"/>
      <c r="O1038" s="16"/>
      <c r="S1038" s="11"/>
      <c r="T1038" s="11"/>
      <c r="U1038" s="11"/>
      <c r="Y1038" s="27"/>
      <c r="Z1038" s="11"/>
      <c r="AE1038" s="11"/>
      <c r="AH1038" s="28"/>
      <c r="AI1038" s="28"/>
      <c r="AJ1038" s="12"/>
      <c r="AK1038" s="29"/>
      <c r="AL1038" s="12"/>
    </row>
    <row r="1039" spans="9:38" x14ac:dyDescent="0.25">
      <c r="I1039" s="15"/>
      <c r="K1039" s="16"/>
      <c r="L1039" s="16"/>
      <c r="M1039" s="16"/>
      <c r="N1039" s="16"/>
      <c r="O1039" s="16"/>
      <c r="S1039" s="11"/>
      <c r="T1039" s="11"/>
      <c r="U1039" s="11"/>
      <c r="Y1039" s="27"/>
      <c r="Z1039" s="11"/>
      <c r="AE1039" s="11"/>
      <c r="AH1039" s="28"/>
      <c r="AI1039" s="28"/>
      <c r="AJ1039" s="12"/>
      <c r="AK1039" s="29"/>
      <c r="AL1039" s="12"/>
    </row>
    <row r="1040" spans="9:38" x14ac:dyDescent="0.25">
      <c r="I1040" s="15"/>
      <c r="K1040" s="16"/>
      <c r="L1040" s="16"/>
      <c r="M1040" s="16"/>
      <c r="N1040" s="16"/>
      <c r="O1040" s="16"/>
      <c r="S1040" s="11"/>
      <c r="T1040" s="11"/>
      <c r="U1040" s="11"/>
      <c r="Y1040" s="27"/>
      <c r="Z1040" s="11"/>
      <c r="AE1040" s="11"/>
      <c r="AH1040" s="28"/>
      <c r="AI1040" s="28"/>
      <c r="AJ1040" s="12"/>
      <c r="AK1040" s="29"/>
      <c r="AL1040" s="12"/>
    </row>
    <row r="1041" spans="9:38" x14ac:dyDescent="0.25">
      <c r="I1041" s="15"/>
      <c r="K1041" s="16"/>
      <c r="L1041" s="16"/>
      <c r="M1041" s="16"/>
      <c r="N1041" s="16"/>
      <c r="O1041" s="16"/>
      <c r="S1041" s="11"/>
      <c r="T1041" s="11"/>
      <c r="U1041" s="11"/>
      <c r="Y1041" s="27"/>
      <c r="Z1041" s="11"/>
      <c r="AE1041" s="11"/>
      <c r="AH1041" s="28"/>
      <c r="AI1041" s="28"/>
      <c r="AJ1041" s="12"/>
      <c r="AK1041" s="29"/>
      <c r="AL1041" s="12"/>
    </row>
    <row r="1042" spans="9:38" x14ac:dyDescent="0.25">
      <c r="I1042" s="15"/>
      <c r="K1042" s="16"/>
      <c r="L1042" s="16"/>
      <c r="M1042" s="16"/>
      <c r="N1042" s="16"/>
      <c r="O1042" s="16"/>
      <c r="S1042" s="11"/>
      <c r="T1042" s="11"/>
      <c r="U1042" s="11"/>
      <c r="Y1042" s="27"/>
      <c r="Z1042" s="11"/>
      <c r="AE1042" s="11"/>
      <c r="AH1042" s="28"/>
      <c r="AI1042" s="28"/>
      <c r="AJ1042" s="12"/>
      <c r="AK1042" s="29"/>
      <c r="AL1042" s="12"/>
    </row>
    <row r="1043" spans="9:38" x14ac:dyDescent="0.25">
      <c r="I1043" s="15"/>
      <c r="K1043" s="16"/>
      <c r="L1043" s="16"/>
      <c r="M1043" s="16"/>
      <c r="N1043" s="16"/>
      <c r="O1043" s="16"/>
      <c r="S1043" s="11"/>
      <c r="T1043" s="11"/>
      <c r="U1043" s="11"/>
      <c r="Y1043" s="27"/>
      <c r="Z1043" s="11"/>
      <c r="AE1043" s="11"/>
      <c r="AH1043" s="28"/>
      <c r="AI1043" s="28"/>
      <c r="AJ1043" s="12"/>
      <c r="AK1043" s="29"/>
      <c r="AL1043" s="12"/>
    </row>
    <row r="1044" spans="9:38" x14ac:dyDescent="0.25">
      <c r="I1044" s="15"/>
      <c r="K1044" s="16"/>
      <c r="L1044" s="16"/>
      <c r="M1044" s="16"/>
      <c r="N1044" s="16"/>
      <c r="O1044" s="16"/>
      <c r="S1044" s="11"/>
      <c r="T1044" s="11"/>
      <c r="U1044" s="11"/>
      <c r="Y1044" s="27"/>
      <c r="Z1044" s="11"/>
      <c r="AE1044" s="11"/>
      <c r="AH1044" s="28"/>
      <c r="AI1044" s="28"/>
      <c r="AJ1044" s="12"/>
      <c r="AK1044" s="29"/>
      <c r="AL1044" s="12"/>
    </row>
    <row r="1045" spans="9:38" x14ac:dyDescent="0.25">
      <c r="I1045" s="15"/>
      <c r="K1045" s="16"/>
      <c r="L1045" s="16"/>
      <c r="M1045" s="16"/>
      <c r="N1045" s="16"/>
      <c r="O1045" s="16"/>
      <c r="S1045" s="11"/>
      <c r="T1045" s="11"/>
      <c r="U1045" s="11"/>
      <c r="Y1045" s="27"/>
      <c r="Z1045" s="11"/>
      <c r="AE1045" s="11"/>
      <c r="AH1045" s="28"/>
      <c r="AI1045" s="28"/>
      <c r="AJ1045" s="12"/>
      <c r="AK1045" s="29"/>
      <c r="AL1045" s="12"/>
    </row>
    <row r="1046" spans="9:38" x14ac:dyDescent="0.25">
      <c r="I1046" s="15"/>
      <c r="K1046" s="16"/>
      <c r="L1046" s="16"/>
      <c r="M1046" s="16"/>
      <c r="N1046" s="16"/>
      <c r="O1046" s="16"/>
      <c r="S1046" s="11"/>
      <c r="T1046" s="11"/>
      <c r="U1046" s="11"/>
      <c r="Y1046" s="27"/>
      <c r="Z1046" s="11"/>
      <c r="AE1046" s="11"/>
      <c r="AH1046" s="28"/>
      <c r="AI1046" s="28"/>
      <c r="AJ1046" s="12"/>
      <c r="AK1046" s="29"/>
      <c r="AL1046" s="12"/>
    </row>
    <row r="1047" spans="9:38" x14ac:dyDescent="0.25">
      <c r="I1047" s="15"/>
      <c r="K1047" s="16"/>
      <c r="L1047" s="16"/>
      <c r="M1047" s="16"/>
      <c r="N1047" s="16"/>
      <c r="O1047" s="16"/>
      <c r="S1047" s="11"/>
      <c r="T1047" s="11"/>
      <c r="U1047" s="11"/>
      <c r="Y1047" s="27"/>
      <c r="Z1047" s="11"/>
      <c r="AE1047" s="11"/>
      <c r="AH1047" s="28"/>
      <c r="AI1047" s="28"/>
      <c r="AJ1047" s="12"/>
      <c r="AK1047" s="29"/>
      <c r="AL1047" s="12"/>
    </row>
    <row r="1048" spans="9:38" x14ac:dyDescent="0.25">
      <c r="I1048" s="15"/>
      <c r="K1048" s="16"/>
      <c r="L1048" s="16"/>
      <c r="M1048" s="16"/>
      <c r="N1048" s="16"/>
      <c r="O1048" s="16"/>
      <c r="S1048" s="11"/>
      <c r="T1048" s="11"/>
      <c r="U1048" s="11"/>
      <c r="Y1048" s="27"/>
      <c r="Z1048" s="11"/>
      <c r="AE1048" s="11"/>
      <c r="AH1048" s="28"/>
      <c r="AI1048" s="28"/>
      <c r="AJ1048" s="12"/>
      <c r="AK1048" s="29"/>
      <c r="AL1048" s="12"/>
    </row>
    <row r="1049" spans="9:38" x14ac:dyDescent="0.25">
      <c r="I1049" s="15"/>
      <c r="K1049" s="16"/>
      <c r="L1049" s="16"/>
      <c r="M1049" s="16"/>
      <c r="N1049" s="16"/>
      <c r="O1049" s="16"/>
      <c r="S1049" s="11"/>
      <c r="T1049" s="11"/>
      <c r="U1049" s="11"/>
      <c r="Y1049" s="27"/>
      <c r="Z1049" s="11"/>
      <c r="AE1049" s="11"/>
      <c r="AH1049" s="28"/>
      <c r="AI1049" s="28"/>
      <c r="AJ1049" s="12"/>
      <c r="AK1049" s="29"/>
      <c r="AL1049" s="12"/>
    </row>
    <row r="1050" spans="9:38" x14ac:dyDescent="0.25">
      <c r="I1050" s="15"/>
      <c r="K1050" s="16"/>
      <c r="L1050" s="16"/>
      <c r="M1050" s="16"/>
      <c r="N1050" s="16"/>
      <c r="O1050" s="16"/>
      <c r="S1050" s="11"/>
      <c r="T1050" s="11"/>
      <c r="U1050" s="11"/>
      <c r="Y1050" s="27"/>
      <c r="Z1050" s="11"/>
      <c r="AE1050" s="11"/>
      <c r="AH1050" s="28"/>
      <c r="AI1050" s="28"/>
      <c r="AJ1050" s="12"/>
      <c r="AK1050" s="29"/>
      <c r="AL1050" s="12"/>
    </row>
    <row r="1051" spans="9:38" x14ac:dyDescent="0.25">
      <c r="I1051" s="15"/>
      <c r="K1051" s="16"/>
      <c r="L1051" s="16"/>
      <c r="M1051" s="16"/>
      <c r="N1051" s="16"/>
      <c r="O1051" s="16"/>
      <c r="S1051" s="11"/>
      <c r="T1051" s="11"/>
      <c r="U1051" s="11"/>
      <c r="Y1051" s="27"/>
      <c r="Z1051" s="11"/>
      <c r="AE1051" s="11"/>
      <c r="AH1051" s="28"/>
      <c r="AI1051" s="28"/>
      <c r="AJ1051" s="12"/>
      <c r="AK1051" s="29"/>
      <c r="AL1051" s="12"/>
    </row>
    <row r="1052" spans="9:38" x14ac:dyDescent="0.25">
      <c r="I1052" s="15"/>
      <c r="K1052" s="16"/>
      <c r="L1052" s="16"/>
      <c r="M1052" s="16"/>
      <c r="N1052" s="16"/>
      <c r="O1052" s="16"/>
      <c r="S1052" s="11"/>
      <c r="T1052" s="11"/>
      <c r="U1052" s="11"/>
      <c r="Y1052" s="27"/>
      <c r="Z1052" s="11"/>
      <c r="AE1052" s="11"/>
      <c r="AH1052" s="28"/>
      <c r="AI1052" s="28"/>
      <c r="AJ1052" s="12"/>
      <c r="AK1052" s="29"/>
      <c r="AL1052" s="12"/>
    </row>
    <row r="1053" spans="9:38" x14ac:dyDescent="0.25">
      <c r="I1053" s="15"/>
      <c r="K1053" s="16"/>
      <c r="L1053" s="16"/>
      <c r="M1053" s="16"/>
      <c r="N1053" s="16"/>
      <c r="O1053" s="16"/>
      <c r="S1053" s="11"/>
      <c r="T1053" s="11"/>
      <c r="U1053" s="11"/>
      <c r="Y1053" s="27"/>
      <c r="Z1053" s="11"/>
      <c r="AE1053" s="11"/>
      <c r="AH1053" s="28"/>
      <c r="AI1053" s="28"/>
      <c r="AJ1053" s="12"/>
      <c r="AK1053" s="29"/>
      <c r="AL1053" s="12"/>
    </row>
    <row r="1054" spans="9:38" x14ac:dyDescent="0.25">
      <c r="I1054" s="15"/>
      <c r="K1054" s="16"/>
      <c r="L1054" s="16"/>
      <c r="M1054" s="16"/>
      <c r="N1054" s="16"/>
      <c r="O1054" s="16"/>
      <c r="S1054" s="11"/>
      <c r="T1054" s="11"/>
      <c r="U1054" s="11"/>
      <c r="Y1054" s="27"/>
      <c r="Z1054" s="11"/>
      <c r="AE1054" s="11"/>
      <c r="AH1054" s="28"/>
      <c r="AI1054" s="28"/>
      <c r="AJ1054" s="12"/>
      <c r="AK1054" s="29"/>
      <c r="AL1054" s="12"/>
    </row>
    <row r="1055" spans="9:38" x14ac:dyDescent="0.25">
      <c r="I1055" s="15"/>
      <c r="K1055" s="16"/>
      <c r="L1055" s="16"/>
      <c r="M1055" s="16"/>
      <c r="N1055" s="16"/>
      <c r="O1055" s="16"/>
      <c r="S1055" s="11"/>
      <c r="T1055" s="11"/>
      <c r="U1055" s="11"/>
      <c r="Y1055" s="27"/>
      <c r="Z1055" s="11"/>
      <c r="AE1055" s="11"/>
      <c r="AH1055" s="28"/>
      <c r="AI1055" s="28"/>
      <c r="AJ1055" s="12"/>
      <c r="AK1055" s="29"/>
      <c r="AL1055" s="12"/>
    </row>
    <row r="1056" spans="9:38" x14ac:dyDescent="0.25">
      <c r="I1056" s="15"/>
      <c r="K1056" s="16"/>
      <c r="L1056" s="16"/>
      <c r="M1056" s="16"/>
      <c r="N1056" s="16"/>
      <c r="O1056" s="16"/>
      <c r="S1056" s="11"/>
      <c r="T1056" s="11"/>
      <c r="U1056" s="11"/>
      <c r="Y1056" s="27"/>
      <c r="Z1056" s="11"/>
      <c r="AE1056" s="11"/>
      <c r="AH1056" s="28"/>
      <c r="AI1056" s="28"/>
      <c r="AJ1056" s="12"/>
      <c r="AK1056" s="29"/>
      <c r="AL1056" s="12"/>
    </row>
    <row r="1057" spans="9:38" x14ac:dyDescent="0.25">
      <c r="I1057" s="15"/>
      <c r="K1057" s="16"/>
      <c r="L1057" s="16"/>
      <c r="M1057" s="16"/>
      <c r="N1057" s="16"/>
      <c r="O1057" s="16"/>
      <c r="S1057" s="11"/>
      <c r="T1057" s="11"/>
      <c r="U1057" s="11"/>
      <c r="Y1057" s="27"/>
      <c r="Z1057" s="11"/>
      <c r="AE1057" s="11"/>
      <c r="AH1057" s="28"/>
      <c r="AI1057" s="28"/>
      <c r="AJ1057" s="12"/>
      <c r="AK1057" s="29"/>
      <c r="AL1057" s="12"/>
    </row>
    <row r="1058" spans="9:38" x14ac:dyDescent="0.25">
      <c r="I1058" s="15"/>
      <c r="K1058" s="16"/>
      <c r="L1058" s="16"/>
      <c r="M1058" s="16"/>
      <c r="N1058" s="16"/>
      <c r="O1058" s="16"/>
      <c r="S1058" s="11"/>
      <c r="T1058" s="11"/>
      <c r="U1058" s="11"/>
      <c r="Y1058" s="27"/>
      <c r="Z1058" s="11"/>
      <c r="AE1058" s="11"/>
      <c r="AH1058" s="28"/>
      <c r="AI1058" s="28"/>
      <c r="AJ1058" s="12"/>
      <c r="AK1058" s="29"/>
      <c r="AL1058" s="12"/>
    </row>
    <row r="1059" spans="9:38" x14ac:dyDescent="0.25">
      <c r="I1059" s="15"/>
      <c r="K1059" s="16"/>
      <c r="L1059" s="16"/>
      <c r="M1059" s="16"/>
      <c r="N1059" s="16"/>
      <c r="O1059" s="16"/>
      <c r="S1059" s="11"/>
      <c r="T1059" s="11"/>
      <c r="U1059" s="11"/>
      <c r="Y1059" s="27"/>
      <c r="Z1059" s="11"/>
      <c r="AE1059" s="11"/>
      <c r="AH1059" s="28"/>
      <c r="AI1059" s="28"/>
      <c r="AJ1059" s="12"/>
      <c r="AK1059" s="29"/>
      <c r="AL1059" s="12"/>
    </row>
    <row r="1060" spans="9:38" x14ac:dyDescent="0.25">
      <c r="I1060" s="15"/>
      <c r="K1060" s="16"/>
      <c r="L1060" s="16"/>
      <c r="M1060" s="16"/>
      <c r="N1060" s="16"/>
      <c r="O1060" s="16"/>
      <c r="S1060" s="11"/>
      <c r="T1060" s="11"/>
      <c r="U1060" s="11"/>
      <c r="Y1060" s="27"/>
      <c r="Z1060" s="11"/>
      <c r="AE1060" s="11"/>
      <c r="AH1060" s="28"/>
      <c r="AI1060" s="28"/>
      <c r="AJ1060" s="12"/>
      <c r="AK1060" s="29"/>
      <c r="AL1060" s="12"/>
    </row>
    <row r="1061" spans="9:38" x14ac:dyDescent="0.25">
      <c r="I1061" s="15"/>
      <c r="K1061" s="16"/>
      <c r="L1061" s="16"/>
      <c r="M1061" s="16"/>
      <c r="N1061" s="16"/>
      <c r="O1061" s="16"/>
      <c r="S1061" s="11"/>
      <c r="T1061" s="11"/>
      <c r="U1061" s="11"/>
      <c r="Y1061" s="27"/>
      <c r="Z1061" s="11"/>
      <c r="AE1061" s="11"/>
      <c r="AH1061" s="28"/>
      <c r="AI1061" s="28"/>
      <c r="AJ1061" s="12"/>
      <c r="AK1061" s="29"/>
      <c r="AL1061" s="12"/>
    </row>
    <row r="1062" spans="9:38" x14ac:dyDescent="0.25">
      <c r="I1062" s="15"/>
      <c r="K1062" s="16"/>
      <c r="L1062" s="16"/>
      <c r="M1062" s="16"/>
      <c r="N1062" s="16"/>
      <c r="O1062" s="16"/>
      <c r="S1062" s="11"/>
      <c r="T1062" s="11"/>
      <c r="U1062" s="11"/>
      <c r="Y1062" s="27"/>
      <c r="Z1062" s="11"/>
      <c r="AE1062" s="11"/>
      <c r="AH1062" s="28"/>
      <c r="AI1062" s="28"/>
      <c r="AJ1062" s="12"/>
      <c r="AK1062" s="29"/>
      <c r="AL1062" s="12"/>
    </row>
    <row r="1063" spans="9:38" x14ac:dyDescent="0.25">
      <c r="I1063" s="15"/>
      <c r="K1063" s="16"/>
      <c r="L1063" s="16"/>
      <c r="M1063" s="16"/>
      <c r="N1063" s="16"/>
      <c r="O1063" s="16"/>
      <c r="S1063" s="11"/>
      <c r="T1063" s="11"/>
      <c r="U1063" s="11"/>
      <c r="Y1063" s="27"/>
      <c r="Z1063" s="11"/>
      <c r="AE1063" s="11"/>
      <c r="AH1063" s="28"/>
      <c r="AI1063" s="28"/>
      <c r="AJ1063" s="12"/>
      <c r="AK1063" s="29"/>
      <c r="AL1063" s="12"/>
    </row>
    <row r="1064" spans="9:38" x14ac:dyDescent="0.25">
      <c r="I1064" s="15"/>
      <c r="K1064" s="16"/>
      <c r="L1064" s="16"/>
      <c r="M1064" s="16"/>
      <c r="N1064" s="16"/>
      <c r="O1064" s="16"/>
      <c r="S1064" s="11"/>
      <c r="T1064" s="11"/>
      <c r="U1064" s="11"/>
      <c r="Y1064" s="27"/>
      <c r="Z1064" s="11"/>
      <c r="AE1064" s="11"/>
      <c r="AH1064" s="28"/>
      <c r="AI1064" s="28"/>
      <c r="AJ1064" s="12"/>
      <c r="AK1064" s="29"/>
      <c r="AL1064" s="12"/>
    </row>
    <row r="1065" spans="9:38" x14ac:dyDescent="0.25">
      <c r="I1065" s="15"/>
      <c r="K1065" s="16"/>
      <c r="L1065" s="16"/>
      <c r="M1065" s="16"/>
      <c r="N1065" s="16"/>
      <c r="O1065" s="16"/>
      <c r="S1065" s="11"/>
      <c r="T1065" s="11"/>
      <c r="U1065" s="11"/>
      <c r="Y1065" s="27"/>
      <c r="Z1065" s="11"/>
      <c r="AE1065" s="11"/>
      <c r="AH1065" s="28"/>
      <c r="AI1065" s="28"/>
      <c r="AJ1065" s="12"/>
      <c r="AK1065" s="29"/>
      <c r="AL1065" s="12"/>
    </row>
    <row r="1066" spans="9:38" x14ac:dyDescent="0.25">
      <c r="I1066" s="15"/>
      <c r="K1066" s="16"/>
      <c r="L1066" s="16"/>
      <c r="M1066" s="16"/>
      <c r="N1066" s="16"/>
      <c r="O1066" s="16"/>
      <c r="S1066" s="11"/>
      <c r="T1066" s="11"/>
      <c r="U1066" s="11"/>
      <c r="Y1066" s="27"/>
      <c r="Z1066" s="11"/>
      <c r="AE1066" s="11"/>
      <c r="AH1066" s="28"/>
      <c r="AI1066" s="28"/>
      <c r="AJ1066" s="12"/>
      <c r="AK1066" s="29"/>
      <c r="AL1066" s="12"/>
    </row>
    <row r="1067" spans="9:38" x14ac:dyDescent="0.25">
      <c r="I1067" s="15"/>
      <c r="K1067" s="16"/>
      <c r="L1067" s="16"/>
      <c r="M1067" s="16"/>
      <c r="N1067" s="16"/>
      <c r="O1067" s="16"/>
      <c r="S1067" s="11"/>
      <c r="T1067" s="11"/>
      <c r="U1067" s="11"/>
      <c r="Y1067" s="27"/>
      <c r="Z1067" s="11"/>
      <c r="AE1067" s="11"/>
      <c r="AH1067" s="28"/>
      <c r="AI1067" s="28"/>
      <c r="AJ1067" s="12"/>
      <c r="AK1067" s="29"/>
      <c r="AL1067" s="12"/>
    </row>
    <row r="1068" spans="9:38" x14ac:dyDescent="0.25">
      <c r="I1068" s="15"/>
      <c r="K1068" s="16"/>
      <c r="L1068" s="16"/>
      <c r="M1068" s="16"/>
      <c r="N1068" s="16"/>
      <c r="O1068" s="16"/>
      <c r="S1068" s="11"/>
      <c r="T1068" s="11"/>
      <c r="U1068" s="11"/>
      <c r="Y1068" s="27"/>
      <c r="Z1068" s="11"/>
      <c r="AE1068" s="11"/>
      <c r="AH1068" s="28"/>
      <c r="AI1068" s="28"/>
      <c r="AJ1068" s="12"/>
      <c r="AK1068" s="29"/>
      <c r="AL1068" s="12"/>
    </row>
    <row r="1069" spans="9:38" x14ac:dyDescent="0.25">
      <c r="I1069" s="15"/>
      <c r="K1069" s="16"/>
      <c r="L1069" s="16"/>
      <c r="M1069" s="16"/>
      <c r="N1069" s="16"/>
      <c r="O1069" s="16"/>
      <c r="S1069" s="11"/>
      <c r="T1069" s="11"/>
      <c r="U1069" s="11"/>
      <c r="Y1069" s="27"/>
      <c r="Z1069" s="11"/>
      <c r="AE1069" s="11"/>
      <c r="AH1069" s="28"/>
      <c r="AI1069" s="28"/>
      <c r="AJ1069" s="12"/>
      <c r="AK1069" s="29"/>
      <c r="AL1069" s="12"/>
    </row>
    <row r="1070" spans="9:38" x14ac:dyDescent="0.25">
      <c r="I1070" s="15"/>
      <c r="K1070" s="16"/>
      <c r="L1070" s="16"/>
      <c r="M1070" s="16"/>
      <c r="N1070" s="16"/>
      <c r="O1070" s="16"/>
      <c r="S1070" s="11"/>
      <c r="T1070" s="11"/>
      <c r="U1070" s="11"/>
      <c r="Y1070" s="27"/>
      <c r="Z1070" s="11"/>
      <c r="AE1070" s="11"/>
      <c r="AH1070" s="28"/>
      <c r="AI1070" s="28"/>
      <c r="AJ1070" s="12"/>
      <c r="AK1070" s="29"/>
      <c r="AL1070" s="12"/>
    </row>
    <row r="1071" spans="9:38" x14ac:dyDescent="0.25">
      <c r="I1071" s="15"/>
      <c r="K1071" s="16"/>
      <c r="L1071" s="16"/>
      <c r="M1071" s="16"/>
      <c r="N1071" s="16"/>
      <c r="O1071" s="16"/>
      <c r="S1071" s="11"/>
      <c r="T1071" s="11"/>
      <c r="U1071" s="11"/>
      <c r="Y1071" s="27"/>
      <c r="Z1071" s="11"/>
      <c r="AE1071" s="11"/>
      <c r="AH1071" s="28"/>
      <c r="AI1071" s="28"/>
      <c r="AJ1071" s="12"/>
      <c r="AK1071" s="29"/>
      <c r="AL1071" s="12"/>
    </row>
    <row r="1072" spans="9:38" x14ac:dyDescent="0.25">
      <c r="I1072" s="15"/>
      <c r="K1072" s="16"/>
      <c r="L1072" s="16"/>
      <c r="M1072" s="16"/>
      <c r="N1072" s="16"/>
      <c r="O1072" s="16"/>
      <c r="S1072" s="11"/>
      <c r="T1072" s="11"/>
      <c r="U1072" s="11"/>
      <c r="Y1072" s="27"/>
      <c r="Z1072" s="11"/>
      <c r="AE1072" s="11"/>
      <c r="AH1072" s="28"/>
      <c r="AI1072" s="28"/>
      <c r="AJ1072" s="12"/>
      <c r="AK1072" s="29"/>
      <c r="AL1072" s="12"/>
    </row>
    <row r="1073" spans="9:38" x14ac:dyDescent="0.25">
      <c r="I1073" s="15"/>
      <c r="K1073" s="16"/>
      <c r="L1073" s="16"/>
      <c r="M1073" s="16"/>
      <c r="N1073" s="16"/>
      <c r="O1073" s="16"/>
      <c r="S1073" s="11"/>
      <c r="T1073" s="11"/>
      <c r="U1073" s="11"/>
      <c r="Y1073" s="27"/>
      <c r="Z1073" s="11"/>
      <c r="AE1073" s="11"/>
      <c r="AH1073" s="28"/>
      <c r="AI1073" s="28"/>
      <c r="AJ1073" s="12"/>
      <c r="AK1073" s="29"/>
      <c r="AL1073" s="12"/>
    </row>
    <row r="1074" spans="9:38" x14ac:dyDescent="0.25">
      <c r="I1074" s="15"/>
      <c r="K1074" s="16"/>
      <c r="L1074" s="16"/>
      <c r="M1074" s="16"/>
      <c r="N1074" s="16"/>
      <c r="O1074" s="16"/>
      <c r="S1074" s="11"/>
      <c r="T1074" s="11"/>
      <c r="U1074" s="11"/>
      <c r="Y1074" s="27"/>
      <c r="Z1074" s="11"/>
      <c r="AE1074" s="11"/>
      <c r="AH1074" s="28"/>
      <c r="AI1074" s="28"/>
      <c r="AJ1074" s="12"/>
      <c r="AK1074" s="29"/>
      <c r="AL1074" s="12"/>
    </row>
    <row r="1075" spans="9:38" x14ac:dyDescent="0.25">
      <c r="I1075" s="15"/>
      <c r="K1075" s="16"/>
      <c r="L1075" s="16"/>
      <c r="M1075" s="16"/>
      <c r="N1075" s="16"/>
      <c r="O1075" s="16"/>
      <c r="S1075" s="11"/>
      <c r="T1075" s="11"/>
      <c r="U1075" s="11"/>
      <c r="Y1075" s="27"/>
      <c r="Z1075" s="11"/>
      <c r="AE1075" s="11"/>
      <c r="AH1075" s="28"/>
      <c r="AI1075" s="28"/>
      <c r="AJ1075" s="12"/>
      <c r="AK1075" s="29"/>
      <c r="AL1075" s="12"/>
    </row>
    <row r="1076" spans="9:38" x14ac:dyDescent="0.25">
      <c r="I1076" s="15"/>
      <c r="K1076" s="16"/>
      <c r="L1076" s="16"/>
      <c r="M1076" s="16"/>
      <c r="N1076" s="16"/>
      <c r="O1076" s="16"/>
      <c r="S1076" s="11"/>
      <c r="T1076" s="11"/>
      <c r="U1076" s="11"/>
      <c r="Y1076" s="27"/>
      <c r="Z1076" s="11"/>
      <c r="AE1076" s="11"/>
      <c r="AH1076" s="28"/>
      <c r="AI1076" s="28"/>
      <c r="AJ1076" s="12"/>
      <c r="AK1076" s="29"/>
      <c r="AL1076" s="12"/>
    </row>
    <row r="1077" spans="9:38" x14ac:dyDescent="0.25">
      <c r="I1077" s="15"/>
      <c r="K1077" s="16"/>
      <c r="L1077" s="16"/>
      <c r="M1077" s="16"/>
      <c r="N1077" s="16"/>
      <c r="O1077" s="16"/>
      <c r="S1077" s="11"/>
      <c r="T1077" s="11"/>
      <c r="U1077" s="11"/>
      <c r="Y1077" s="27"/>
      <c r="Z1077" s="11"/>
      <c r="AE1077" s="11"/>
      <c r="AH1077" s="28"/>
      <c r="AI1077" s="28"/>
      <c r="AJ1077" s="12"/>
      <c r="AK1077" s="29"/>
      <c r="AL1077" s="12"/>
    </row>
    <row r="1078" spans="9:38" x14ac:dyDescent="0.25">
      <c r="I1078" s="15"/>
      <c r="K1078" s="16"/>
      <c r="L1078" s="16"/>
      <c r="M1078" s="16"/>
      <c r="N1078" s="16"/>
      <c r="O1078" s="16"/>
      <c r="S1078" s="11"/>
      <c r="T1078" s="11"/>
      <c r="U1078" s="11"/>
      <c r="Y1078" s="27"/>
      <c r="Z1078" s="11"/>
      <c r="AE1078" s="11"/>
      <c r="AH1078" s="28"/>
      <c r="AI1078" s="28"/>
      <c r="AJ1078" s="12"/>
      <c r="AK1078" s="29"/>
      <c r="AL1078" s="12"/>
    </row>
    <row r="1079" spans="9:38" x14ac:dyDescent="0.25">
      <c r="I1079" s="15"/>
      <c r="K1079" s="16"/>
      <c r="L1079" s="16"/>
      <c r="M1079" s="16"/>
      <c r="N1079" s="16"/>
      <c r="O1079" s="16"/>
      <c r="S1079" s="11"/>
      <c r="T1079" s="11"/>
      <c r="U1079" s="11"/>
      <c r="Y1079" s="27"/>
      <c r="Z1079" s="11"/>
      <c r="AE1079" s="11"/>
      <c r="AH1079" s="28"/>
      <c r="AI1079" s="28"/>
      <c r="AJ1079" s="12"/>
      <c r="AK1079" s="29"/>
      <c r="AL1079" s="12"/>
    </row>
    <row r="1080" spans="9:38" x14ac:dyDescent="0.25">
      <c r="I1080" s="15"/>
      <c r="K1080" s="16"/>
      <c r="L1080" s="16"/>
      <c r="M1080" s="16"/>
      <c r="N1080" s="16"/>
      <c r="O1080" s="16"/>
      <c r="S1080" s="11"/>
      <c r="T1080" s="11"/>
      <c r="U1080" s="11"/>
      <c r="Y1080" s="27"/>
      <c r="Z1080" s="11"/>
      <c r="AE1080" s="11"/>
      <c r="AH1080" s="28"/>
      <c r="AI1080" s="28"/>
      <c r="AJ1080" s="12"/>
      <c r="AK1080" s="29"/>
      <c r="AL1080" s="12"/>
    </row>
    <row r="1081" spans="9:38" x14ac:dyDescent="0.25">
      <c r="I1081" s="15"/>
      <c r="K1081" s="16"/>
      <c r="L1081" s="16"/>
      <c r="M1081" s="16"/>
      <c r="N1081" s="16"/>
      <c r="O1081" s="16"/>
      <c r="S1081" s="11"/>
      <c r="T1081" s="11"/>
      <c r="U1081" s="11"/>
      <c r="Y1081" s="27"/>
      <c r="Z1081" s="11"/>
      <c r="AE1081" s="11"/>
      <c r="AH1081" s="28"/>
      <c r="AI1081" s="28"/>
      <c r="AJ1081" s="12"/>
      <c r="AK1081" s="29"/>
      <c r="AL1081" s="12"/>
    </row>
    <row r="1082" spans="9:38" x14ac:dyDescent="0.25">
      <c r="I1082" s="15"/>
      <c r="K1082" s="16"/>
      <c r="L1082" s="16"/>
      <c r="M1082" s="16"/>
      <c r="N1082" s="16"/>
      <c r="O1082" s="16"/>
      <c r="S1082" s="11"/>
      <c r="T1082" s="11"/>
      <c r="U1082" s="11"/>
      <c r="Y1082" s="27"/>
      <c r="Z1082" s="11"/>
      <c r="AE1082" s="11"/>
      <c r="AH1082" s="28"/>
      <c r="AI1082" s="28"/>
      <c r="AJ1082" s="12"/>
      <c r="AK1082" s="29"/>
      <c r="AL1082" s="12"/>
    </row>
    <row r="1083" spans="9:38" x14ac:dyDescent="0.25">
      <c r="I1083" s="15"/>
      <c r="K1083" s="16"/>
      <c r="L1083" s="16"/>
      <c r="M1083" s="16"/>
      <c r="N1083" s="16"/>
      <c r="O1083" s="16"/>
      <c r="S1083" s="11"/>
      <c r="T1083" s="11"/>
      <c r="U1083" s="11"/>
      <c r="Y1083" s="27"/>
      <c r="Z1083" s="11"/>
      <c r="AE1083" s="11"/>
      <c r="AH1083" s="28"/>
      <c r="AI1083" s="28"/>
      <c r="AJ1083" s="12"/>
      <c r="AK1083" s="29"/>
      <c r="AL1083" s="12"/>
    </row>
    <row r="1084" spans="9:38" x14ac:dyDescent="0.25">
      <c r="I1084" s="15"/>
      <c r="K1084" s="16"/>
      <c r="L1084" s="16"/>
      <c r="M1084" s="16"/>
      <c r="N1084" s="16"/>
      <c r="O1084" s="16"/>
      <c r="S1084" s="11"/>
      <c r="T1084" s="11"/>
      <c r="U1084" s="11"/>
      <c r="Y1084" s="27"/>
      <c r="Z1084" s="11"/>
      <c r="AE1084" s="11"/>
      <c r="AH1084" s="28"/>
      <c r="AI1084" s="28"/>
      <c r="AJ1084" s="12"/>
      <c r="AK1084" s="29"/>
      <c r="AL1084" s="12"/>
    </row>
    <row r="1085" spans="9:38" x14ac:dyDescent="0.25">
      <c r="I1085" s="15"/>
      <c r="K1085" s="16"/>
      <c r="L1085" s="16"/>
      <c r="M1085" s="16"/>
      <c r="N1085" s="16"/>
      <c r="O1085" s="16"/>
      <c r="S1085" s="11"/>
      <c r="T1085" s="11"/>
      <c r="U1085" s="11"/>
      <c r="Y1085" s="27"/>
      <c r="Z1085" s="11"/>
      <c r="AE1085" s="11"/>
      <c r="AH1085" s="28"/>
      <c r="AI1085" s="28"/>
      <c r="AJ1085" s="12"/>
      <c r="AK1085" s="29"/>
      <c r="AL1085" s="12"/>
    </row>
    <row r="1086" spans="9:38" x14ac:dyDescent="0.25">
      <c r="I1086" s="15"/>
      <c r="K1086" s="16"/>
      <c r="L1086" s="16"/>
      <c r="M1086" s="16"/>
      <c r="N1086" s="16"/>
      <c r="O1086" s="16"/>
      <c r="S1086" s="11"/>
      <c r="T1086" s="11"/>
      <c r="U1086" s="11"/>
      <c r="Y1086" s="27"/>
      <c r="Z1086" s="11"/>
      <c r="AE1086" s="11"/>
      <c r="AH1086" s="28"/>
      <c r="AI1086" s="28"/>
      <c r="AJ1086" s="12"/>
      <c r="AK1086" s="29"/>
      <c r="AL1086" s="12"/>
    </row>
    <row r="1087" spans="9:38" x14ac:dyDescent="0.25">
      <c r="I1087" s="15"/>
      <c r="K1087" s="16"/>
      <c r="L1087" s="16"/>
      <c r="M1087" s="16"/>
      <c r="N1087" s="16"/>
      <c r="O1087" s="16"/>
      <c r="S1087" s="11"/>
      <c r="T1087" s="11"/>
      <c r="U1087" s="11"/>
      <c r="Y1087" s="27"/>
      <c r="Z1087" s="11"/>
      <c r="AE1087" s="11"/>
      <c r="AH1087" s="28"/>
      <c r="AI1087" s="28"/>
      <c r="AJ1087" s="12"/>
      <c r="AK1087" s="29"/>
      <c r="AL1087" s="12"/>
    </row>
    <row r="1088" spans="9:38" x14ac:dyDescent="0.25">
      <c r="I1088" s="15"/>
      <c r="K1088" s="16"/>
      <c r="L1088" s="16"/>
      <c r="M1088" s="16"/>
      <c r="N1088" s="16"/>
      <c r="O1088" s="16"/>
      <c r="S1088" s="11"/>
      <c r="T1088" s="11"/>
      <c r="U1088" s="11"/>
      <c r="Y1088" s="27"/>
      <c r="Z1088" s="11"/>
      <c r="AE1088" s="11"/>
      <c r="AH1088" s="28"/>
      <c r="AI1088" s="28"/>
      <c r="AJ1088" s="12"/>
      <c r="AK1088" s="29"/>
      <c r="AL1088" s="12"/>
    </row>
    <row r="1089" spans="9:38" x14ac:dyDescent="0.25">
      <c r="I1089" s="15"/>
      <c r="K1089" s="16"/>
      <c r="L1089" s="16"/>
      <c r="M1089" s="16"/>
      <c r="N1089" s="16"/>
      <c r="O1089" s="16"/>
      <c r="S1089" s="11"/>
      <c r="T1089" s="11"/>
      <c r="U1089" s="11"/>
      <c r="Y1089" s="27"/>
      <c r="Z1089" s="11"/>
      <c r="AE1089" s="11"/>
      <c r="AH1089" s="28"/>
      <c r="AI1089" s="28"/>
      <c r="AJ1089" s="12"/>
      <c r="AK1089" s="29"/>
      <c r="AL1089" s="12"/>
    </row>
    <row r="1090" spans="9:38" x14ac:dyDescent="0.25">
      <c r="I1090" s="15"/>
      <c r="K1090" s="16"/>
      <c r="L1090" s="16"/>
      <c r="M1090" s="16"/>
      <c r="N1090" s="16"/>
      <c r="O1090" s="16"/>
      <c r="S1090" s="11"/>
      <c r="T1090" s="11"/>
      <c r="U1090" s="11"/>
      <c r="Y1090" s="27"/>
      <c r="Z1090" s="11"/>
      <c r="AE1090" s="11"/>
      <c r="AH1090" s="28"/>
      <c r="AI1090" s="28"/>
      <c r="AJ1090" s="12"/>
      <c r="AK1090" s="29"/>
      <c r="AL1090" s="12"/>
    </row>
    <row r="1091" spans="9:38" x14ac:dyDescent="0.25">
      <c r="I1091" s="15"/>
      <c r="K1091" s="16"/>
      <c r="L1091" s="16"/>
      <c r="M1091" s="16"/>
      <c r="N1091" s="16"/>
      <c r="O1091" s="16"/>
      <c r="S1091" s="11"/>
      <c r="T1091" s="11"/>
      <c r="U1091" s="11"/>
      <c r="Y1091" s="27"/>
      <c r="Z1091" s="11"/>
      <c r="AE1091" s="11"/>
      <c r="AH1091" s="28"/>
      <c r="AI1091" s="28"/>
      <c r="AJ1091" s="12"/>
      <c r="AK1091" s="29"/>
      <c r="AL1091" s="12"/>
    </row>
    <row r="1092" spans="9:38" x14ac:dyDescent="0.25">
      <c r="I1092" s="15"/>
      <c r="K1092" s="16"/>
      <c r="L1092" s="16"/>
      <c r="M1092" s="16"/>
      <c r="N1092" s="16"/>
      <c r="O1092" s="16"/>
      <c r="S1092" s="11"/>
      <c r="T1092" s="11"/>
      <c r="U1092" s="11"/>
      <c r="Y1092" s="27"/>
      <c r="Z1092" s="11"/>
      <c r="AE1092" s="11"/>
      <c r="AH1092" s="28"/>
      <c r="AI1092" s="28"/>
      <c r="AJ1092" s="12"/>
      <c r="AK1092" s="29"/>
      <c r="AL1092" s="12"/>
    </row>
    <row r="1093" spans="9:38" x14ac:dyDescent="0.25">
      <c r="I1093" s="15"/>
      <c r="K1093" s="16"/>
      <c r="L1093" s="16"/>
      <c r="M1093" s="16"/>
      <c r="N1093" s="16"/>
      <c r="O1093" s="16"/>
      <c r="S1093" s="11"/>
      <c r="T1093" s="11"/>
      <c r="U1093" s="11"/>
      <c r="Y1093" s="27"/>
      <c r="Z1093" s="11"/>
      <c r="AE1093" s="11"/>
      <c r="AH1093" s="28"/>
      <c r="AI1093" s="28"/>
      <c r="AJ1093" s="12"/>
      <c r="AK1093" s="29"/>
      <c r="AL1093" s="12"/>
    </row>
    <row r="1094" spans="9:38" x14ac:dyDescent="0.25">
      <c r="I1094" s="15"/>
      <c r="K1094" s="16"/>
      <c r="L1094" s="16"/>
      <c r="M1094" s="16"/>
      <c r="N1094" s="16"/>
      <c r="O1094" s="16"/>
      <c r="S1094" s="11"/>
      <c r="T1094" s="11"/>
      <c r="U1094" s="11"/>
      <c r="Y1094" s="27"/>
      <c r="Z1094" s="11"/>
      <c r="AE1094" s="11"/>
      <c r="AH1094" s="28"/>
      <c r="AI1094" s="28"/>
      <c r="AJ1094" s="12"/>
      <c r="AK1094" s="29"/>
      <c r="AL1094" s="12"/>
    </row>
    <row r="1095" spans="9:38" x14ac:dyDescent="0.25">
      <c r="I1095" s="15"/>
      <c r="K1095" s="16"/>
      <c r="L1095" s="16"/>
      <c r="M1095" s="16"/>
      <c r="N1095" s="16"/>
      <c r="O1095" s="16"/>
      <c r="S1095" s="11"/>
      <c r="T1095" s="11"/>
      <c r="U1095" s="11"/>
      <c r="Y1095" s="27"/>
      <c r="Z1095" s="11"/>
      <c r="AE1095" s="11"/>
      <c r="AH1095" s="28"/>
      <c r="AI1095" s="28"/>
      <c r="AJ1095" s="12"/>
      <c r="AK1095" s="29"/>
      <c r="AL1095" s="12"/>
    </row>
    <row r="1096" spans="9:38" x14ac:dyDescent="0.25">
      <c r="I1096" s="15"/>
      <c r="K1096" s="16"/>
      <c r="L1096" s="16"/>
      <c r="M1096" s="16"/>
      <c r="N1096" s="16"/>
      <c r="O1096" s="16"/>
      <c r="S1096" s="11"/>
      <c r="T1096" s="11"/>
      <c r="U1096" s="11"/>
      <c r="Y1096" s="27"/>
      <c r="Z1096" s="11"/>
      <c r="AE1096" s="11"/>
      <c r="AH1096" s="28"/>
      <c r="AI1096" s="28"/>
      <c r="AJ1096" s="12"/>
      <c r="AK1096" s="29"/>
      <c r="AL1096" s="12"/>
    </row>
    <row r="1097" spans="9:38" x14ac:dyDescent="0.25">
      <c r="I1097" s="15"/>
      <c r="K1097" s="16"/>
      <c r="L1097" s="16"/>
      <c r="M1097" s="16"/>
      <c r="N1097" s="16"/>
      <c r="O1097" s="16"/>
      <c r="S1097" s="11"/>
      <c r="T1097" s="11"/>
      <c r="U1097" s="11"/>
      <c r="Y1097" s="27"/>
      <c r="Z1097" s="11"/>
      <c r="AE1097" s="11"/>
      <c r="AH1097" s="28"/>
      <c r="AI1097" s="28"/>
      <c r="AJ1097" s="12"/>
      <c r="AK1097" s="29"/>
      <c r="AL1097" s="12"/>
    </row>
    <row r="1098" spans="9:38" x14ac:dyDescent="0.25">
      <c r="I1098" s="15"/>
    </row>
    <row r="1099" spans="9:38" x14ac:dyDescent="0.25">
      <c r="I1099" s="15"/>
    </row>
    <row r="1100" spans="9:38" x14ac:dyDescent="0.25">
      <c r="I1100" s="15"/>
    </row>
    <row r="1101" spans="9:38" x14ac:dyDescent="0.25">
      <c r="I1101" s="15"/>
    </row>
    <row r="1102" spans="9:38" x14ac:dyDescent="0.25">
      <c r="I1102" s="15"/>
    </row>
    <row r="1103" spans="9:38" x14ac:dyDescent="0.25">
      <c r="I1103" s="15"/>
    </row>
    <row r="1104" spans="9:38" x14ac:dyDescent="0.25">
      <c r="I1104" s="15"/>
    </row>
    <row r="1105" spans="9:9" x14ac:dyDescent="0.25">
      <c r="I1105" s="15"/>
    </row>
    <row r="1106" spans="9:9" x14ac:dyDescent="0.25">
      <c r="I1106" s="15"/>
    </row>
    <row r="1107" spans="9:9" x14ac:dyDescent="0.25">
      <c r="I1107" s="15"/>
    </row>
    <row r="1108" spans="9:9" x14ac:dyDescent="0.25">
      <c r="I1108" s="15"/>
    </row>
    <row r="1109" spans="9:9" x14ac:dyDescent="0.25">
      <c r="I1109" s="15"/>
    </row>
    <row r="1110" spans="9:9" x14ac:dyDescent="0.25">
      <c r="I1110" s="15"/>
    </row>
    <row r="1111" spans="9:9" x14ac:dyDescent="0.25">
      <c r="I1111" s="15"/>
    </row>
    <row r="1112" spans="9:9" x14ac:dyDescent="0.25">
      <c r="I1112" s="15"/>
    </row>
    <row r="1113" spans="9:9" x14ac:dyDescent="0.25">
      <c r="I1113" s="15"/>
    </row>
    <row r="1114" spans="9:9" x14ac:dyDescent="0.25">
      <c r="I1114" s="15"/>
    </row>
    <row r="1115" spans="9:9" x14ac:dyDescent="0.25">
      <c r="I1115" s="15"/>
    </row>
    <row r="1116" spans="9:9" x14ac:dyDescent="0.25">
      <c r="I1116" s="15"/>
    </row>
    <row r="1117" spans="9:9" x14ac:dyDescent="0.25">
      <c r="I1117" s="15"/>
    </row>
    <row r="1118" spans="9:9" x14ac:dyDescent="0.25">
      <c r="I1118" s="15"/>
    </row>
    <row r="1119" spans="9:9" x14ac:dyDescent="0.25">
      <c r="I1119" s="15"/>
    </row>
    <row r="1120" spans="9:9" x14ac:dyDescent="0.25">
      <c r="I1120" s="15"/>
    </row>
    <row r="1121" spans="9:9" x14ac:dyDescent="0.25">
      <c r="I1121" s="15"/>
    </row>
    <row r="1122" spans="9:9" x14ac:dyDescent="0.25">
      <c r="I1122" s="15"/>
    </row>
    <row r="1123" spans="9:9" x14ac:dyDescent="0.25">
      <c r="I1123" s="15"/>
    </row>
    <row r="1124" spans="9:9" x14ac:dyDescent="0.25">
      <c r="I1124" s="15"/>
    </row>
    <row r="1125" spans="9:9" x14ac:dyDescent="0.25">
      <c r="I1125" s="15"/>
    </row>
    <row r="1126" spans="9:9" x14ac:dyDescent="0.25">
      <c r="I1126" s="15"/>
    </row>
    <row r="1127" spans="9:9" x14ac:dyDescent="0.25">
      <c r="I1127" s="15"/>
    </row>
    <row r="1128" spans="9:9" x14ac:dyDescent="0.25">
      <c r="I1128" s="15"/>
    </row>
    <row r="1129" spans="9:9" x14ac:dyDescent="0.25">
      <c r="I1129" s="15"/>
    </row>
    <row r="1130" spans="9:9" x14ac:dyDescent="0.25">
      <c r="I1130" s="15"/>
    </row>
    <row r="1131" spans="9:9" x14ac:dyDescent="0.25">
      <c r="I1131" s="15"/>
    </row>
    <row r="1132" spans="9:9" x14ac:dyDescent="0.25">
      <c r="I1132" s="15"/>
    </row>
    <row r="1133" spans="9:9" x14ac:dyDescent="0.25">
      <c r="I1133" s="15"/>
    </row>
    <row r="1134" spans="9:9" x14ac:dyDescent="0.25">
      <c r="I1134" s="15"/>
    </row>
    <row r="1135" spans="9:9" x14ac:dyDescent="0.25">
      <c r="I1135" s="15"/>
    </row>
    <row r="1136" spans="9:9" x14ac:dyDescent="0.25">
      <c r="I1136" s="15"/>
    </row>
    <row r="1137" spans="9:9" x14ac:dyDescent="0.25">
      <c r="I1137" s="15"/>
    </row>
    <row r="1138" spans="9:9" x14ac:dyDescent="0.25">
      <c r="I1138" s="15"/>
    </row>
    <row r="1139" spans="9:9" x14ac:dyDescent="0.25">
      <c r="I1139" s="15"/>
    </row>
    <row r="1140" spans="9:9" x14ac:dyDescent="0.25">
      <c r="I1140" s="15"/>
    </row>
    <row r="1141" spans="9:9" x14ac:dyDescent="0.25">
      <c r="I1141" s="15"/>
    </row>
    <row r="1142" spans="9:9" x14ac:dyDescent="0.25">
      <c r="I1142" s="15"/>
    </row>
    <row r="1143" spans="9:9" x14ac:dyDescent="0.25">
      <c r="I1143" s="15"/>
    </row>
    <row r="1144" spans="9:9" x14ac:dyDescent="0.25">
      <c r="I1144" s="15"/>
    </row>
    <row r="1145" spans="9:9" x14ac:dyDescent="0.25">
      <c r="I1145" s="15"/>
    </row>
    <row r="1146" spans="9:9" x14ac:dyDescent="0.25">
      <c r="I1146" s="15"/>
    </row>
    <row r="1147" spans="9:9" x14ac:dyDescent="0.25">
      <c r="I1147" s="15"/>
    </row>
    <row r="1148" spans="9:9" x14ac:dyDescent="0.25">
      <c r="I1148" s="15"/>
    </row>
    <row r="1149" spans="9:9" x14ac:dyDescent="0.25">
      <c r="I1149" s="15"/>
    </row>
    <row r="1150" spans="9:9" x14ac:dyDescent="0.25">
      <c r="I1150" s="15"/>
    </row>
    <row r="1151" spans="9:9" x14ac:dyDescent="0.25">
      <c r="I1151" s="15"/>
    </row>
    <row r="1152" spans="9:9" x14ac:dyDescent="0.25">
      <c r="I1152" s="15"/>
    </row>
    <row r="1153" spans="9:9" x14ac:dyDescent="0.25">
      <c r="I1153" s="15"/>
    </row>
    <row r="1154" spans="9:9" x14ac:dyDescent="0.25">
      <c r="I1154" s="15"/>
    </row>
    <row r="1155" spans="9:9" x14ac:dyDescent="0.25">
      <c r="I1155" s="15"/>
    </row>
    <row r="1156" spans="9:9" x14ac:dyDescent="0.25">
      <c r="I1156" s="15"/>
    </row>
    <row r="1157" spans="9:9" x14ac:dyDescent="0.25">
      <c r="I1157" s="15"/>
    </row>
    <row r="1158" spans="9:9" x14ac:dyDescent="0.25">
      <c r="I1158" s="15"/>
    </row>
    <row r="1159" spans="9:9" x14ac:dyDescent="0.25">
      <c r="I1159" s="15"/>
    </row>
    <row r="1160" spans="9:9" x14ac:dyDescent="0.25">
      <c r="I1160" s="15"/>
    </row>
    <row r="1161" spans="9:9" x14ac:dyDescent="0.25">
      <c r="I1161" s="15"/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monthly</vt:lpstr>
    </vt:vector>
  </TitlesOfParts>
  <Company>BBVA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PALOMAR BURDEUS, JUAN ESTEBAN</dc:creator>
  <cp:lastModifiedBy>Docente 5</cp:lastModifiedBy>
  <dcterms:created xsi:type="dcterms:W3CDTF">2016-04-19T07:50:38Z</dcterms:created>
  <dcterms:modified xsi:type="dcterms:W3CDTF">2019-05-17T16:04:37Z</dcterms:modified>
</cp:coreProperties>
</file>